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next/experiments/20250701-nucleus-onepot-debug-01/20250708-Pierce660/"/>
    </mc:Choice>
  </mc:AlternateContent>
  <xr:revisionPtr revIDLastSave="0" documentId="13_ncr:1_{6652B890-054A-F940-9ED4-14E176E3ACCB}" xr6:coauthVersionLast="47" xr6:coauthVersionMax="47" xr10:uidLastSave="{00000000-0000-0000-0000-000000000000}"/>
  <bookViews>
    <workbookView xWindow="0" yWindow="760" windowWidth="17280" windowHeight="19960" xr2:uid="{BD66F72B-06A7-2F40-8447-7C153598944C}"/>
  </bookViews>
  <sheets>
    <sheet name="Plat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H39" i="1"/>
  <c r="I39" i="1"/>
  <c r="G38" i="1"/>
  <c r="H38" i="1"/>
  <c r="G37" i="1"/>
  <c r="H37" i="1"/>
  <c r="G36" i="1"/>
  <c r="H36" i="1"/>
  <c r="G35" i="1"/>
  <c r="H35" i="1"/>
  <c r="G34" i="1"/>
  <c r="H34" i="1"/>
  <c r="G33" i="1"/>
  <c r="H33" i="1"/>
  <c r="B19" i="1"/>
  <c r="B29" i="1" s="1"/>
  <c r="B18" i="1"/>
  <c r="C18" i="1" s="1"/>
  <c r="B17" i="1"/>
  <c r="B16" i="1"/>
  <c r="B15" i="1"/>
  <c r="B14" i="1"/>
  <c r="B13" i="1"/>
  <c r="B12" i="1"/>
  <c r="C15" i="1" l="1"/>
  <c r="C16" i="1"/>
  <c r="C17" i="1"/>
  <c r="C12" i="1"/>
  <c r="C13" i="1"/>
  <c r="C14" i="1"/>
  <c r="F23" i="1"/>
  <c r="F25" i="1"/>
  <c r="F35" i="1" s="1"/>
  <c r="F26" i="1"/>
  <c r="F36" i="1" s="1"/>
  <c r="F27" i="1"/>
  <c r="F37" i="1" s="1"/>
  <c r="F28" i="1"/>
  <c r="F38" i="1" s="1"/>
  <c r="F29" i="1"/>
  <c r="F39" i="1" s="1"/>
  <c r="C25" i="1"/>
  <c r="C29" i="1"/>
  <c r="F24" i="1"/>
  <c r="F34" i="1" s="1"/>
  <c r="C23" i="1"/>
  <c r="C33" i="1" s="1"/>
  <c r="C24" i="1"/>
  <c r="C26" i="1"/>
  <c r="C27" i="1"/>
  <c r="C28" i="1"/>
  <c r="D24" i="1"/>
  <c r="D23" i="1"/>
  <c r="D33" i="1" s="1"/>
  <c r="D25" i="1"/>
  <c r="D26" i="1"/>
  <c r="D27" i="1"/>
  <c r="D28" i="1"/>
  <c r="D29" i="1"/>
  <c r="E23" i="1"/>
  <c r="E24" i="1"/>
  <c r="E25" i="1"/>
  <c r="E35" i="1" s="1"/>
  <c r="E26" i="1"/>
  <c r="E36" i="1" s="1"/>
  <c r="E27" i="1"/>
  <c r="E37" i="1" s="1"/>
  <c r="E28" i="1"/>
  <c r="E38" i="1" s="1"/>
  <c r="E29" i="1"/>
  <c r="H23" i="1"/>
  <c r="H24" i="1"/>
  <c r="H25" i="1"/>
  <c r="H26" i="1"/>
  <c r="H27" i="1"/>
  <c r="H28" i="1"/>
  <c r="H29" i="1"/>
  <c r="G23" i="1"/>
  <c r="G24" i="1"/>
  <c r="G25" i="1"/>
  <c r="G26" i="1"/>
  <c r="G27" i="1"/>
  <c r="G28" i="1"/>
  <c r="G29" i="1"/>
  <c r="I23" i="1"/>
  <c r="I33" i="1" s="1"/>
  <c r="I24" i="1"/>
  <c r="I34" i="1" s="1"/>
  <c r="I25" i="1"/>
  <c r="I35" i="1" s="1"/>
  <c r="I26" i="1"/>
  <c r="I36" i="1" s="1"/>
  <c r="I27" i="1"/>
  <c r="I37" i="1" s="1"/>
  <c r="I28" i="1"/>
  <c r="I38" i="1" s="1"/>
  <c r="I29" i="1"/>
  <c r="J23" i="1"/>
  <c r="J33" i="1" s="1"/>
  <c r="J24" i="1"/>
  <c r="J34" i="1" s="1"/>
  <c r="J25" i="1"/>
  <c r="J35" i="1" s="1"/>
  <c r="J26" i="1"/>
  <c r="J36" i="1" s="1"/>
  <c r="J27" i="1"/>
  <c r="J37" i="1" s="1"/>
  <c r="J28" i="1"/>
  <c r="J38" i="1" s="1"/>
  <c r="J29" i="1"/>
  <c r="K23" i="1"/>
  <c r="K33" i="1" s="1"/>
  <c r="K24" i="1"/>
  <c r="K34" i="1" s="1"/>
  <c r="K25" i="1"/>
  <c r="K35" i="1" s="1"/>
  <c r="K26" i="1"/>
  <c r="K36" i="1" s="1"/>
  <c r="K27" i="1"/>
  <c r="K28" i="1"/>
  <c r="K38" i="1" s="1"/>
  <c r="K29" i="1"/>
  <c r="L24" i="1"/>
  <c r="L34" i="1" s="1"/>
  <c r="L26" i="1"/>
  <c r="L36" i="1" s="1"/>
  <c r="L29" i="1"/>
  <c r="L23" i="1"/>
  <c r="L33" i="1" s="1"/>
  <c r="L25" i="1"/>
  <c r="L35" i="1" s="1"/>
  <c r="L27" i="1"/>
  <c r="L37" i="1" s="1"/>
  <c r="L28" i="1"/>
  <c r="L38" i="1" s="1"/>
  <c r="C19" i="1"/>
  <c r="E14" i="1" s="1" a="1"/>
  <c r="M23" i="1"/>
  <c r="M33" i="1" s="1"/>
  <c r="M24" i="1"/>
  <c r="M34" i="1" s="1"/>
  <c r="M25" i="1"/>
  <c r="M35" i="1" s="1"/>
  <c r="M26" i="1"/>
  <c r="M36" i="1" s="1"/>
  <c r="M27" i="1"/>
  <c r="M37" i="1" s="1"/>
  <c r="M28" i="1"/>
  <c r="M38" i="1" s="1"/>
  <c r="M29" i="1"/>
  <c r="B23" i="1"/>
  <c r="B33" i="1" s="1"/>
  <c r="B24" i="1"/>
  <c r="B25" i="1"/>
  <c r="B26" i="1"/>
  <c r="B27" i="1"/>
  <c r="B28" i="1"/>
  <c r="E14" i="1" l="1"/>
  <c r="E33" i="1" s="1"/>
  <c r="B39" i="1"/>
  <c r="B35" i="1"/>
  <c r="K41" i="1"/>
  <c r="K42" i="1"/>
  <c r="C35" i="1"/>
  <c r="J42" i="1"/>
  <c r="J41" i="1"/>
  <c r="B34" i="1"/>
  <c r="L42" i="1"/>
  <c r="L41" i="1"/>
  <c r="B38" i="1"/>
  <c r="M42" i="1"/>
  <c r="M41" i="1"/>
  <c r="E12" i="1"/>
  <c r="I41" i="1"/>
  <c r="I42" i="1"/>
  <c r="B37" i="1"/>
  <c r="C34" i="1"/>
  <c r="B36" i="1"/>
  <c r="D35" i="1" l="1"/>
  <c r="C41" i="1"/>
  <c r="D34" i="1"/>
  <c r="D42" i="1" s="1"/>
  <c r="F33" i="1"/>
  <c r="E34" i="1"/>
  <c r="E42" i="1" s="1"/>
  <c r="C42" i="1"/>
  <c r="B42" i="1"/>
  <c r="B41" i="1"/>
  <c r="F41" i="1" l="1"/>
  <c r="F42" i="1"/>
  <c r="G42" i="1"/>
  <c r="G41" i="1"/>
  <c r="D41" i="1"/>
  <c r="E41" i="1"/>
  <c r="H41" i="1"/>
  <c r="H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<sst xmlns="http://schemas.openxmlformats.org/spreadsheetml/2006/main" count="32" uniqueCount="22">
  <si>
    <t>A</t>
  </si>
  <si>
    <t>B</t>
  </si>
  <si>
    <t>C</t>
  </si>
  <si>
    <t>D</t>
  </si>
  <si>
    <t>E</t>
  </si>
  <si>
    <t>F</t>
  </si>
  <si>
    <t>G</t>
  </si>
  <si>
    <t>H</t>
  </si>
  <si>
    <t>Standards (mg/mL)</t>
  </si>
  <si>
    <t>Absorbance</t>
  </si>
  <si>
    <t>Normalized</t>
  </si>
  <si>
    <t>R^2</t>
  </si>
  <si>
    <t>slope</t>
  </si>
  <si>
    <t>y-intercept</t>
  </si>
  <si>
    <t>Normalized Absorbances</t>
  </si>
  <si>
    <t>STDs</t>
  </si>
  <si>
    <t>Back-calculated concentration</t>
  </si>
  <si>
    <t>Dilution Factor (x)</t>
  </si>
  <si>
    <t>Concentration</t>
  </si>
  <si>
    <t>Std Dev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</si>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</sst>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ACD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2" borderId="0" xfId="0" applyFont="1" applyFill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4" xfId="0" applyFill="1" applyBorder="1"/>
    <xf numFmtId="2" fontId="0" fillId="3" borderId="0" xfId="0" applyNumberFormat="1" applyFill="1"/>
    <xf numFmtId="2" fontId="0" fillId="0" borderId="0" xfId="0" applyNumberFormat="1"/>
    <xf numFmtId="2" fontId="0" fillId="0" borderId="5" xfId="0" applyNumberFormat="1" applyBorder="1"/>
    <xf numFmtId="0" fontId="3" fillId="0" borderId="0" xfId="0" applyFont="1"/>
    <xf numFmtId="0" fontId="0" fillId="4" borderId="6" xfId="0" applyFill="1" applyBorder="1"/>
    <xf numFmtId="2" fontId="0" fillId="3" borderId="7" xfId="0" applyNumberFormat="1" applyFill="1" applyBorder="1"/>
    <xf numFmtId="2" fontId="0" fillId="0" borderId="7" xfId="0" applyNumberFormat="1" applyBorder="1"/>
    <xf numFmtId="2" fontId="0" fillId="0" borderId="8" xfId="0" applyNumberFormat="1" applyBorder="1"/>
    <xf numFmtId="2" fontId="3" fillId="0" borderId="0" xfId="0" applyNumberFormat="1" applyFont="1"/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3'!$A$12:$A$19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'Plate 3'!$C$12:$C$19</c:f>
              <c:numCache>
                <c:formatCode>General</c:formatCode>
                <c:ptCount val="8"/>
                <c:pt idx="0">
                  <c:v>0.85099999999999998</c:v>
                </c:pt>
                <c:pt idx="1">
                  <c:v>0.55200000000000005</c:v>
                </c:pt>
                <c:pt idx="2">
                  <c:v>0.32400000000000001</c:v>
                </c:pt>
                <c:pt idx="3">
                  <c:v>0.23599999999999999</c:v>
                </c:pt>
                <c:pt idx="4">
                  <c:v>0.15999999999999998</c:v>
                </c:pt>
                <c:pt idx="5">
                  <c:v>7.3000000000000009E-2</c:v>
                </c:pt>
                <c:pt idx="6">
                  <c:v>4.8999999999999988E-2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62-E748-9FEA-66935794C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21920"/>
        <c:axId val="1778916256"/>
      </c:scatterChart>
      <c:valAx>
        <c:axId val="38652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16256"/>
        <c:crosses val="autoZero"/>
        <c:crossBetween val="midCat"/>
      </c:valAx>
      <c:valAx>
        <c:axId val="17789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2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149674</xdr:colOff>
      <xdr:row>9</xdr:row>
      <xdr:rowOff>85840</xdr:rowOff>
    </xdr:from>
    <xdr:to>
      <xdr:col>12</xdr:col>
      <xdr:colOff>244759</xdr:colOff>
      <xdr:row>20</xdr:row>
      <xdr:rowOff>64428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8AC05-C2C4-5C40-97B9-5BF2F5221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BC2B-EFC5-F644-86E5-FD2D5C88EDE1}">
  <dimension ref="A1:Z59"/>
  <sheetViews>
    <sheetView tabSelected="1" topLeftCell="A9" workbookViewId="0">
      <selection activeCell="E49" sqref="E49"/>
    </sheetView>
  </sheetViews>
  <sheetFormatPr baseColWidth="10" defaultColWidth="8.83203125" defaultRowHeight="16" x14ac:dyDescent="0.2"/>
  <cols>
    <col min="2" max="4" width="9" bestFit="1" customWidth="1"/>
    <col min="5" max="6" width="9.6640625" bestFit="1" customWidth="1"/>
    <col min="7" max="7" width="9" bestFit="1" customWidth="1"/>
    <col min="8" max="8" width="9.6640625" bestFit="1" customWidth="1"/>
    <col min="9" max="12" width="9" bestFit="1" customWidth="1"/>
    <col min="13" max="13" width="9.6640625" bestFit="1" customWidth="1"/>
  </cols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9">
        <v>1.052</v>
      </c>
      <c r="C2" s="19"/>
      <c r="D2" s="19"/>
      <c r="E2" s="19"/>
      <c r="F2" s="19"/>
      <c r="G2" s="19">
        <v>1.1459999999999999</v>
      </c>
      <c r="H2" s="19">
        <v>0.74299999999999999</v>
      </c>
      <c r="N2" s="3">
        <v>660</v>
      </c>
    </row>
    <row r="3" spans="1:14" x14ac:dyDescent="0.2">
      <c r="A3" s="2" t="s">
        <v>1</v>
      </c>
      <c r="B3" s="19">
        <v>0.753</v>
      </c>
      <c r="C3" s="19"/>
      <c r="D3" s="19"/>
      <c r="E3" s="19"/>
      <c r="F3" s="19"/>
      <c r="G3" s="19">
        <v>0.61599999999999999</v>
      </c>
      <c r="H3" s="19">
        <v>0.433</v>
      </c>
      <c r="N3" s="3">
        <v>660</v>
      </c>
    </row>
    <row r="4" spans="1:14" x14ac:dyDescent="0.2">
      <c r="A4" s="2" t="s">
        <v>2</v>
      </c>
      <c r="B4" s="19">
        <v>0.52500000000000002</v>
      </c>
      <c r="C4" s="19"/>
      <c r="D4" s="19"/>
      <c r="E4" s="19"/>
      <c r="F4" s="19"/>
      <c r="G4" s="19">
        <v>0.38</v>
      </c>
      <c r="H4" s="19">
        <v>0.30099999999999999</v>
      </c>
      <c r="N4" s="3">
        <v>660</v>
      </c>
    </row>
    <row r="5" spans="1:14" x14ac:dyDescent="0.2">
      <c r="A5" s="2" t="s">
        <v>3</v>
      </c>
      <c r="B5" s="19">
        <v>0.437</v>
      </c>
      <c r="C5" s="19"/>
      <c r="D5" s="19"/>
      <c r="E5" s="19"/>
      <c r="F5" s="19"/>
      <c r="G5" s="19">
        <v>0.27600000000000002</v>
      </c>
      <c r="H5" s="19">
        <v>0.24</v>
      </c>
      <c r="N5" s="3">
        <v>660</v>
      </c>
    </row>
    <row r="6" spans="1:14" x14ac:dyDescent="0.2">
      <c r="A6" s="2" t="s">
        <v>4</v>
      </c>
      <c r="B6" s="19">
        <v>0.36099999999999999</v>
      </c>
      <c r="C6" s="19"/>
      <c r="D6" s="19"/>
      <c r="E6" s="19"/>
      <c r="F6" s="19"/>
      <c r="G6" s="19">
        <v>0.22700000000000001</v>
      </c>
      <c r="H6" s="19">
        <v>0.214</v>
      </c>
      <c r="N6" s="3">
        <v>660</v>
      </c>
    </row>
    <row r="7" spans="1:14" x14ac:dyDescent="0.2">
      <c r="A7" s="2" t="s">
        <v>5</v>
      </c>
      <c r="B7" s="19">
        <v>0.27400000000000002</v>
      </c>
      <c r="C7" s="19"/>
      <c r="D7" s="19"/>
      <c r="E7" s="19"/>
      <c r="F7" s="19"/>
      <c r="G7" s="19">
        <v>0.20399999999999999</v>
      </c>
      <c r="H7" s="19">
        <v>0.19800000000000001</v>
      </c>
      <c r="N7" s="3">
        <v>660</v>
      </c>
    </row>
    <row r="8" spans="1:14" x14ac:dyDescent="0.2">
      <c r="A8" s="2" t="s">
        <v>6</v>
      </c>
      <c r="B8" s="19">
        <v>0.25</v>
      </c>
      <c r="C8" s="19"/>
      <c r="D8" s="19"/>
      <c r="E8" s="19"/>
      <c r="F8" s="19"/>
      <c r="G8" s="19">
        <v>0.21</v>
      </c>
      <c r="H8" s="19">
        <v>0.20799999999999999</v>
      </c>
      <c r="N8" s="3">
        <v>660</v>
      </c>
    </row>
    <row r="9" spans="1:14" x14ac:dyDescent="0.2">
      <c r="A9" s="2" t="s">
        <v>7</v>
      </c>
      <c r="B9" s="19">
        <v>0.20100000000000001</v>
      </c>
      <c r="C9" s="19"/>
      <c r="D9" s="19"/>
      <c r="E9" s="19"/>
      <c r="F9" s="19"/>
      <c r="G9" s="19">
        <v>0.19600000000000001</v>
      </c>
      <c r="H9" s="19">
        <v>0.189</v>
      </c>
      <c r="N9" s="3">
        <v>660</v>
      </c>
    </row>
    <row r="11" spans="1:14" ht="28" x14ac:dyDescent="0.2">
      <c r="A11" s="4" t="s">
        <v>8</v>
      </c>
      <c r="B11" t="s">
        <v>9</v>
      </c>
      <c r="C11" t="s">
        <v>10</v>
      </c>
      <c r="E11" t="s">
        <v>11</v>
      </c>
    </row>
    <row r="12" spans="1:14" x14ac:dyDescent="0.2">
      <c r="A12">
        <v>2</v>
      </c>
      <c r="B12">
        <f>B2</f>
        <v>1.052</v>
      </c>
      <c r="C12">
        <f>B12-$B$19</f>
        <v>0.85099999999999998</v>
      </c>
      <c r="E12">
        <f>RSQ(C12:C19,A12:A19)</f>
        <v>0.98064320505189095</v>
      </c>
    </row>
    <row r="13" spans="1:14" x14ac:dyDescent="0.2">
      <c r="A13">
        <v>1.5</v>
      </c>
      <c r="B13">
        <f>B3</f>
        <v>0.753</v>
      </c>
      <c r="C13">
        <f t="shared" ref="C13:C19" si="0">B13-$B$19</f>
        <v>0.55200000000000005</v>
      </c>
      <c r="E13" t="s">
        <v>12</v>
      </c>
      <c r="F13" t="s">
        <v>13</v>
      </c>
    </row>
    <row r="14" spans="1:14" x14ac:dyDescent="0.2">
      <c r="A14">
        <v>1</v>
      </c>
      <c r="B14">
        <f t="shared" ref="B14:B19" si="1">B4</f>
        <v>0.52500000000000002</v>
      </c>
      <c r="C14">
        <f t="shared" si="0"/>
        <v>0.32400000000000001</v>
      </c>
      <c r="E14" cm="1">
        <f t="array" ref="E14:F14">LINEST(C12:C19,A12:A19)</f>
        <v>0.41045387662705163</v>
      </c>
      <c r="F14">
        <v>-3.3628749292586413E-2</v>
      </c>
    </row>
    <row r="15" spans="1:14" x14ac:dyDescent="0.2">
      <c r="A15">
        <v>0.75</v>
      </c>
      <c r="B15">
        <f t="shared" si="1"/>
        <v>0.437</v>
      </c>
      <c r="C15">
        <f t="shared" si="0"/>
        <v>0.23599999999999999</v>
      </c>
    </row>
    <row r="16" spans="1:14" x14ac:dyDescent="0.2">
      <c r="A16">
        <v>0.5</v>
      </c>
      <c r="B16">
        <f t="shared" si="1"/>
        <v>0.36099999999999999</v>
      </c>
      <c r="C16">
        <f t="shared" si="0"/>
        <v>0.15999999999999998</v>
      </c>
    </row>
    <row r="17" spans="1:13" x14ac:dyDescent="0.2">
      <c r="A17">
        <v>0.25</v>
      </c>
      <c r="B17">
        <f t="shared" si="1"/>
        <v>0.27400000000000002</v>
      </c>
      <c r="C17">
        <f t="shared" si="0"/>
        <v>7.3000000000000009E-2</v>
      </c>
    </row>
    <row r="18" spans="1:13" x14ac:dyDescent="0.2">
      <c r="A18">
        <v>0.125</v>
      </c>
      <c r="B18">
        <f t="shared" si="1"/>
        <v>0.25</v>
      </c>
      <c r="C18">
        <f t="shared" si="0"/>
        <v>4.8999999999999988E-2</v>
      </c>
    </row>
    <row r="19" spans="1:13" x14ac:dyDescent="0.2">
      <c r="A19">
        <v>0</v>
      </c>
      <c r="B19">
        <f t="shared" si="1"/>
        <v>0.20100000000000001</v>
      </c>
      <c r="C19">
        <f t="shared" si="0"/>
        <v>0</v>
      </c>
    </row>
    <row r="21" spans="1:13" x14ac:dyDescent="0.2">
      <c r="A21" t="s">
        <v>14</v>
      </c>
    </row>
    <row r="22" spans="1:13" x14ac:dyDescent="0.2">
      <c r="B22" s="2" t="s">
        <v>15</v>
      </c>
      <c r="C22" s="2">
        <v>12</v>
      </c>
      <c r="D22" s="2">
        <v>14</v>
      </c>
      <c r="E22" s="2">
        <v>15</v>
      </c>
      <c r="F22" s="2">
        <v>16</v>
      </c>
      <c r="G22" s="2">
        <v>17</v>
      </c>
      <c r="H22" s="2">
        <v>18</v>
      </c>
      <c r="I22" s="2">
        <v>19</v>
      </c>
      <c r="J22" s="2">
        <v>20</v>
      </c>
      <c r="K22" s="2">
        <v>21</v>
      </c>
      <c r="L22" s="2">
        <v>22</v>
      </c>
      <c r="M22" s="2">
        <v>23</v>
      </c>
    </row>
    <row r="23" spans="1:13" x14ac:dyDescent="0.2">
      <c r="A23" s="2" t="s">
        <v>0</v>
      </c>
      <c r="B23" s="5">
        <f>C2-$B$19</f>
        <v>-0.20100000000000001</v>
      </c>
      <c r="C23">
        <f>C2-$B$19</f>
        <v>-0.20100000000000001</v>
      </c>
      <c r="D23">
        <f>D2-$B$19</f>
        <v>-0.20100000000000001</v>
      </c>
      <c r="E23">
        <f t="shared" ref="E23:M23" si="2">E2-$B$19</f>
        <v>-0.20100000000000001</v>
      </c>
      <c r="F23">
        <f t="shared" si="2"/>
        <v>-0.20100000000000001</v>
      </c>
      <c r="G23">
        <f t="shared" si="2"/>
        <v>0.94499999999999984</v>
      </c>
      <c r="H23">
        <f t="shared" si="2"/>
        <v>0.54200000000000004</v>
      </c>
      <c r="I23">
        <f t="shared" si="2"/>
        <v>-0.20100000000000001</v>
      </c>
      <c r="J23">
        <f t="shared" si="2"/>
        <v>-0.20100000000000001</v>
      </c>
      <c r="K23">
        <f t="shared" si="2"/>
        <v>-0.20100000000000001</v>
      </c>
      <c r="L23">
        <f t="shared" si="2"/>
        <v>-0.20100000000000001</v>
      </c>
      <c r="M23">
        <f t="shared" si="2"/>
        <v>-0.20100000000000001</v>
      </c>
    </row>
    <row r="24" spans="1:13" x14ac:dyDescent="0.2">
      <c r="A24" s="2" t="s">
        <v>1</v>
      </c>
      <c r="B24" s="5">
        <f t="shared" ref="B24:B29" si="3">C3-$B$19</f>
        <v>-0.20100000000000001</v>
      </c>
      <c r="C24">
        <f t="shared" ref="C24:M29" si="4">C3-$B$19</f>
        <v>-0.20100000000000001</v>
      </c>
      <c r="D24">
        <f t="shared" si="4"/>
        <v>-0.20100000000000001</v>
      </c>
      <c r="E24">
        <f t="shared" si="4"/>
        <v>-0.20100000000000001</v>
      </c>
      <c r="F24">
        <f t="shared" si="4"/>
        <v>-0.20100000000000001</v>
      </c>
      <c r="G24">
        <f t="shared" si="4"/>
        <v>0.41499999999999998</v>
      </c>
      <c r="H24">
        <f t="shared" si="4"/>
        <v>0.23199999999999998</v>
      </c>
      <c r="I24">
        <f t="shared" si="4"/>
        <v>-0.20100000000000001</v>
      </c>
      <c r="J24">
        <f t="shared" si="4"/>
        <v>-0.20100000000000001</v>
      </c>
      <c r="K24">
        <f t="shared" si="4"/>
        <v>-0.20100000000000001</v>
      </c>
      <c r="L24">
        <f t="shared" si="4"/>
        <v>-0.20100000000000001</v>
      </c>
      <c r="M24">
        <f t="shared" si="4"/>
        <v>-0.20100000000000001</v>
      </c>
    </row>
    <row r="25" spans="1:13" x14ac:dyDescent="0.2">
      <c r="A25" s="2" t="s">
        <v>2</v>
      </c>
      <c r="B25" s="5">
        <f t="shared" si="3"/>
        <v>-0.20100000000000001</v>
      </c>
      <c r="C25">
        <f t="shared" si="4"/>
        <v>-0.20100000000000001</v>
      </c>
      <c r="D25">
        <f t="shared" si="4"/>
        <v>-0.20100000000000001</v>
      </c>
      <c r="E25">
        <f t="shared" si="4"/>
        <v>-0.20100000000000001</v>
      </c>
      <c r="F25">
        <f t="shared" si="4"/>
        <v>-0.20100000000000001</v>
      </c>
      <c r="G25">
        <f t="shared" si="4"/>
        <v>0.17899999999999999</v>
      </c>
      <c r="H25">
        <f t="shared" si="4"/>
        <v>9.9999999999999978E-2</v>
      </c>
      <c r="I25">
        <f t="shared" si="4"/>
        <v>-0.20100000000000001</v>
      </c>
      <c r="J25">
        <f t="shared" si="4"/>
        <v>-0.20100000000000001</v>
      </c>
      <c r="K25">
        <f t="shared" si="4"/>
        <v>-0.20100000000000001</v>
      </c>
      <c r="L25">
        <f t="shared" si="4"/>
        <v>-0.20100000000000001</v>
      </c>
      <c r="M25">
        <f t="shared" si="4"/>
        <v>-0.20100000000000001</v>
      </c>
    </row>
    <row r="26" spans="1:13" x14ac:dyDescent="0.2">
      <c r="A26" s="2" t="s">
        <v>3</v>
      </c>
      <c r="B26" s="5">
        <f t="shared" si="3"/>
        <v>-0.20100000000000001</v>
      </c>
      <c r="C26">
        <f t="shared" si="4"/>
        <v>-0.20100000000000001</v>
      </c>
      <c r="D26">
        <f t="shared" si="4"/>
        <v>-0.20100000000000001</v>
      </c>
      <c r="E26">
        <f t="shared" si="4"/>
        <v>-0.20100000000000001</v>
      </c>
      <c r="F26">
        <f t="shared" si="4"/>
        <v>-0.20100000000000001</v>
      </c>
      <c r="G26">
        <f t="shared" si="4"/>
        <v>7.5000000000000011E-2</v>
      </c>
      <c r="H26">
        <f t="shared" si="4"/>
        <v>3.8999999999999979E-2</v>
      </c>
      <c r="I26">
        <f t="shared" si="4"/>
        <v>-0.20100000000000001</v>
      </c>
      <c r="J26">
        <f t="shared" si="4"/>
        <v>-0.20100000000000001</v>
      </c>
      <c r="K26">
        <f t="shared" si="4"/>
        <v>-0.20100000000000001</v>
      </c>
      <c r="L26">
        <f t="shared" si="4"/>
        <v>-0.20100000000000001</v>
      </c>
      <c r="M26">
        <f t="shared" si="4"/>
        <v>-0.20100000000000001</v>
      </c>
    </row>
    <row r="27" spans="1:13" x14ac:dyDescent="0.2">
      <c r="A27" s="2" t="s">
        <v>4</v>
      </c>
      <c r="B27" s="5">
        <f t="shared" si="3"/>
        <v>-0.20100000000000001</v>
      </c>
      <c r="C27">
        <f t="shared" si="4"/>
        <v>-0.20100000000000001</v>
      </c>
      <c r="D27">
        <f t="shared" si="4"/>
        <v>-0.20100000000000001</v>
      </c>
      <c r="E27">
        <f t="shared" si="4"/>
        <v>-0.20100000000000001</v>
      </c>
      <c r="F27">
        <f t="shared" si="4"/>
        <v>-0.20100000000000001</v>
      </c>
      <c r="G27">
        <f t="shared" si="4"/>
        <v>2.5999999999999995E-2</v>
      </c>
      <c r="H27">
        <f t="shared" si="4"/>
        <v>1.2999999999999984E-2</v>
      </c>
      <c r="I27">
        <f t="shared" si="4"/>
        <v>-0.20100000000000001</v>
      </c>
      <c r="J27">
        <f t="shared" si="4"/>
        <v>-0.20100000000000001</v>
      </c>
      <c r="K27">
        <f t="shared" si="4"/>
        <v>-0.20100000000000001</v>
      </c>
      <c r="L27">
        <f t="shared" si="4"/>
        <v>-0.20100000000000001</v>
      </c>
      <c r="M27">
        <f t="shared" si="4"/>
        <v>-0.20100000000000001</v>
      </c>
    </row>
    <row r="28" spans="1:13" x14ac:dyDescent="0.2">
      <c r="A28" s="2" t="s">
        <v>5</v>
      </c>
      <c r="B28" s="5">
        <f t="shared" si="3"/>
        <v>-0.20100000000000001</v>
      </c>
      <c r="C28">
        <f t="shared" si="4"/>
        <v>-0.20100000000000001</v>
      </c>
      <c r="D28">
        <f t="shared" si="4"/>
        <v>-0.20100000000000001</v>
      </c>
      <c r="E28">
        <f t="shared" si="4"/>
        <v>-0.20100000000000001</v>
      </c>
      <c r="F28">
        <f t="shared" si="4"/>
        <v>-0.20100000000000001</v>
      </c>
      <c r="G28">
        <f t="shared" si="4"/>
        <v>2.9999999999999749E-3</v>
      </c>
      <c r="H28">
        <f t="shared" si="4"/>
        <v>-3.0000000000000027E-3</v>
      </c>
      <c r="I28">
        <f t="shared" si="4"/>
        <v>-0.20100000000000001</v>
      </c>
      <c r="J28">
        <f t="shared" si="4"/>
        <v>-0.20100000000000001</v>
      </c>
      <c r="K28">
        <f t="shared" si="4"/>
        <v>-0.20100000000000001</v>
      </c>
      <c r="L28">
        <f t="shared" si="4"/>
        <v>-0.20100000000000001</v>
      </c>
      <c r="M28">
        <f t="shared" si="4"/>
        <v>-0.20100000000000001</v>
      </c>
    </row>
    <row r="29" spans="1:13" x14ac:dyDescent="0.2">
      <c r="A29" s="2" t="s">
        <v>6</v>
      </c>
      <c r="B29" s="5">
        <f t="shared" si="3"/>
        <v>-0.20100000000000001</v>
      </c>
      <c r="C29">
        <f t="shared" si="4"/>
        <v>-0.20100000000000001</v>
      </c>
      <c r="D29">
        <f t="shared" si="4"/>
        <v>-0.20100000000000001</v>
      </c>
      <c r="E29">
        <f t="shared" si="4"/>
        <v>-0.20100000000000001</v>
      </c>
      <c r="F29">
        <f t="shared" si="4"/>
        <v>-0.20100000000000001</v>
      </c>
      <c r="G29">
        <f t="shared" si="4"/>
        <v>8.9999999999999802E-3</v>
      </c>
      <c r="H29">
        <f t="shared" si="4"/>
        <v>6.9999999999999785E-3</v>
      </c>
      <c r="I29">
        <f t="shared" si="4"/>
        <v>-0.20100000000000001</v>
      </c>
      <c r="J29">
        <f t="shared" si="4"/>
        <v>-0.20100000000000001</v>
      </c>
      <c r="K29">
        <f t="shared" si="4"/>
        <v>-0.20100000000000001</v>
      </c>
      <c r="L29">
        <f t="shared" si="4"/>
        <v>-0.20100000000000001</v>
      </c>
      <c r="M29">
        <f t="shared" si="4"/>
        <v>-0.20100000000000001</v>
      </c>
    </row>
    <row r="31" spans="1:13" x14ac:dyDescent="0.2">
      <c r="A31" s="6" t="s">
        <v>16</v>
      </c>
    </row>
    <row r="32" spans="1:13" ht="28" x14ac:dyDescent="0.2">
      <c r="A32" s="7" t="s">
        <v>17</v>
      </c>
      <c r="B32" s="8" t="s">
        <v>15</v>
      </c>
      <c r="C32" s="2"/>
      <c r="D32" s="2"/>
      <c r="E32" s="2"/>
      <c r="F32" s="2"/>
      <c r="G32" s="2" t="s">
        <v>20</v>
      </c>
      <c r="H32" s="2" t="s">
        <v>21</v>
      </c>
      <c r="I32" s="2">
        <v>19</v>
      </c>
      <c r="J32" s="2">
        <v>20</v>
      </c>
      <c r="K32" s="2">
        <v>21</v>
      </c>
      <c r="L32" s="2">
        <v>22</v>
      </c>
      <c r="M32" s="2">
        <v>23</v>
      </c>
    </row>
    <row r="33" spans="1:26" x14ac:dyDescent="0.2">
      <c r="A33" s="9">
        <v>5</v>
      </c>
      <c r="B33" s="10" t="str">
        <f>IF(AND(B23&lt;$C$12,B23&gt;$C$18),(B23-$F$14)/$E$14*$A$33,"")</f>
        <v/>
      </c>
      <c r="C33" s="11" t="str">
        <f t="shared" ref="C33:M33" si="5">IF(AND(C23&lt;$C$12,C23&gt;$C$18),(C23-$F$14)/$E$14*$A$33,"")</f>
        <v/>
      </c>
      <c r="D33" s="11" t="str">
        <f t="shared" si="5"/>
        <v/>
      </c>
      <c r="E33" s="11" t="str">
        <f t="shared" si="5"/>
        <v/>
      </c>
      <c r="F33" s="11" t="str">
        <f t="shared" si="5"/>
        <v/>
      </c>
      <c r="G33" s="11" t="str">
        <f t="shared" si="5"/>
        <v/>
      </c>
      <c r="H33" s="11">
        <f t="shared" si="5"/>
        <v>7.0121002878919905</v>
      </c>
      <c r="I33" s="11" t="str">
        <f t="shared" si="5"/>
        <v/>
      </c>
      <c r="J33" s="11" t="str">
        <f t="shared" si="5"/>
        <v/>
      </c>
      <c r="K33" s="11" t="str">
        <f t="shared" si="5"/>
        <v/>
      </c>
      <c r="L33" s="11" t="str">
        <f t="shared" si="5"/>
        <v/>
      </c>
      <c r="M33" s="12" t="str">
        <f t="shared" si="5"/>
        <v/>
      </c>
      <c r="Z33" s="13"/>
    </row>
    <row r="34" spans="1:26" x14ac:dyDescent="0.2">
      <c r="A34" s="9">
        <v>10</v>
      </c>
      <c r="B34" s="10" t="str">
        <f>IF(AND(B24&lt;$C$12,B24&gt;$C$18),(B24-$F$14)/$E$14*$A$34,"")</f>
        <v/>
      </c>
      <c r="C34" s="11" t="str">
        <f t="shared" ref="C34:M34" si="6">IF(AND(C24&lt;$C$12,C24&gt;$C$18),(C24-$F$14)/$E$14*$A$34,"")</f>
        <v/>
      </c>
      <c r="D34" s="11" t="str">
        <f t="shared" si="6"/>
        <v/>
      </c>
      <c r="E34" s="11" t="str">
        <f t="shared" si="6"/>
        <v/>
      </c>
      <c r="F34" s="11" t="str">
        <f t="shared" si="6"/>
        <v/>
      </c>
      <c r="G34" s="11">
        <f t="shared" si="6"/>
        <v>10.930064858425528</v>
      </c>
      <c r="H34" s="11">
        <f t="shared" si="6"/>
        <v>6.4715858326255526</v>
      </c>
      <c r="I34" s="11" t="str">
        <f t="shared" si="6"/>
        <v/>
      </c>
      <c r="J34" s="11" t="str">
        <f t="shared" si="6"/>
        <v/>
      </c>
      <c r="K34" s="11" t="str">
        <f t="shared" si="6"/>
        <v/>
      </c>
      <c r="L34" s="11" t="str">
        <f t="shared" si="6"/>
        <v/>
      </c>
      <c r="M34" s="12" t="str">
        <f t="shared" si="6"/>
        <v/>
      </c>
    </row>
    <row r="35" spans="1:26" x14ac:dyDescent="0.2">
      <c r="A35" s="9">
        <v>20</v>
      </c>
      <c r="B35" s="10" t="str">
        <f>IF(AND(B25&lt;$C$12,B25&gt;$C$18),(B25-$F$14)/$E$14*$A$35,"")</f>
        <v/>
      </c>
      <c r="C35" s="11" t="str">
        <f t="shared" ref="C35:M35" si="7">IF(AND(C25&lt;$C$12,C25&gt;$C$18),(C25-$F$14)/$E$14*$A$35,"")</f>
        <v/>
      </c>
      <c r="D35" s="11" t="str">
        <f t="shared" si="7"/>
        <v/>
      </c>
      <c r="E35" s="11" t="str">
        <f>IF(AND(E25&lt;$C$12,E25&gt;$C$18),(E25-$F$14)/$E$14*$A$35,"")</f>
        <v/>
      </c>
      <c r="F35" s="11" t="str">
        <f>IF(AND(F25&lt;$C$12,F25&gt;$C$18),(F25-$F$14)/$E$14*$A$35,"")</f>
        <v/>
      </c>
      <c r="G35" s="11">
        <f t="shared" si="7"/>
        <v>10.360664688558225</v>
      </c>
      <c r="H35" s="11">
        <f t="shared" si="7"/>
        <v>6.5112674968839297</v>
      </c>
      <c r="I35" s="11" t="str">
        <f t="shared" si="7"/>
        <v/>
      </c>
      <c r="J35" s="11" t="str">
        <f t="shared" si="7"/>
        <v/>
      </c>
      <c r="K35" s="11" t="str">
        <f t="shared" si="7"/>
        <v/>
      </c>
      <c r="L35" s="11" t="str">
        <f t="shared" si="7"/>
        <v/>
      </c>
      <c r="M35" s="12" t="str">
        <f t="shared" si="7"/>
        <v/>
      </c>
    </row>
    <row r="36" spans="1:26" x14ac:dyDescent="0.2">
      <c r="A36" s="9">
        <v>40</v>
      </c>
      <c r="B36" s="10" t="str">
        <f>IF(AND(B26&lt;$C$12,B26&gt;$C$18),(B26-$F$14)/$E$14*$A$36,"")</f>
        <v/>
      </c>
      <c r="C36" s="11"/>
      <c r="D36" s="11"/>
      <c r="E36" s="11" t="str">
        <f t="shared" ref="E36:M36" si="8">IF(AND(E26&lt;$C$12,E26&gt;$C$18),(E26-$F$14)/$E$14*$A$36,"")</f>
        <v/>
      </c>
      <c r="F36" s="11" t="str">
        <f t="shared" si="8"/>
        <v/>
      </c>
      <c r="G36" s="11">
        <f t="shared" si="8"/>
        <v>10.586207657265145</v>
      </c>
      <c r="H36" s="11" t="str">
        <f t="shared" si="8"/>
        <v/>
      </c>
      <c r="I36" s="11" t="str">
        <f t="shared" si="8"/>
        <v/>
      </c>
      <c r="J36" s="11" t="str">
        <f t="shared" si="8"/>
        <v/>
      </c>
      <c r="K36" s="11" t="str">
        <f t="shared" si="8"/>
        <v/>
      </c>
      <c r="L36" s="11" t="str">
        <f t="shared" si="8"/>
        <v/>
      </c>
      <c r="M36" s="12" t="str">
        <f t="shared" si="8"/>
        <v/>
      </c>
    </row>
    <row r="37" spans="1:26" x14ac:dyDescent="0.2">
      <c r="A37" s="9">
        <v>80</v>
      </c>
      <c r="B37" s="10" t="str">
        <f>IF(AND(B27&lt;$C$12,B27&gt;$C$18),(B27-$F$14)/$E$14*$A$37,"")</f>
        <v/>
      </c>
      <c r="C37" s="11"/>
      <c r="D37" s="11"/>
      <c r="E37" s="11" t="str">
        <f t="shared" ref="E37:M37" si="9">IF(AND(E27&lt;$C$12,E27&gt;$C$18),(E27-$F$14)/$E$14*$A$37,"")</f>
        <v/>
      </c>
      <c r="F37" s="11" t="str">
        <f t="shared" si="9"/>
        <v/>
      </c>
      <c r="G37" s="11" t="str">
        <f t="shared" si="9"/>
        <v/>
      </c>
      <c r="H37" s="11" t="str">
        <f t="shared" si="9"/>
        <v/>
      </c>
      <c r="I37" s="11" t="str">
        <f t="shared" si="9"/>
        <v/>
      </c>
      <c r="J37" s="11" t="str">
        <f t="shared" si="9"/>
        <v/>
      </c>
      <c r="K37" s="11"/>
      <c r="L37" s="11" t="str">
        <f t="shared" si="9"/>
        <v/>
      </c>
      <c r="M37" s="12" t="str">
        <f t="shared" si="9"/>
        <v/>
      </c>
    </row>
    <row r="38" spans="1:26" x14ac:dyDescent="0.2">
      <c r="A38" s="9">
        <v>160</v>
      </c>
      <c r="B38" s="10" t="str">
        <f>IF(AND(B28&lt;$C$12,B28&gt;$C$18),(B28-$F$14)/$E$14*$A$38,"")</f>
        <v/>
      </c>
      <c r="C38" s="11"/>
      <c r="D38" s="11"/>
      <c r="E38" s="11" t="str">
        <f t="shared" ref="E38:M38" si="10">IF(AND(E28&lt;$C$12,E28&gt;$C$18),(E28-$F$14)/$E$14*$A$38,"")</f>
        <v/>
      </c>
      <c r="F38" s="11" t="str">
        <f t="shared" si="10"/>
        <v/>
      </c>
      <c r="G38" s="11" t="str">
        <f t="shared" si="10"/>
        <v/>
      </c>
      <c r="H38" s="11" t="str">
        <f t="shared" si="10"/>
        <v/>
      </c>
      <c r="I38" s="11" t="str">
        <f t="shared" si="10"/>
        <v/>
      </c>
      <c r="J38" s="11" t="str">
        <f t="shared" si="10"/>
        <v/>
      </c>
      <c r="K38" s="11" t="str">
        <f t="shared" si="10"/>
        <v/>
      </c>
      <c r="L38" s="11" t="str">
        <f t="shared" si="10"/>
        <v/>
      </c>
      <c r="M38" s="12" t="str">
        <f t="shared" si="10"/>
        <v/>
      </c>
    </row>
    <row r="39" spans="1:26" x14ac:dyDescent="0.2">
      <c r="A39" s="14">
        <v>320</v>
      </c>
      <c r="B39" s="15" t="str">
        <f>IF(AND(B29&lt;$C$12,B29&gt;$C$18),(B29-$F$14)/$E$14*$A$39,"")</f>
        <v/>
      </c>
      <c r="C39" s="16"/>
      <c r="D39" s="16"/>
      <c r="E39" s="16"/>
      <c r="F39" s="16" t="str">
        <f t="shared" ref="F39:M39" si="11">IF(AND(F29&lt;$C$12,F29&gt;$C$18),(F29-$F$14)/$E$14*$A$39,"")</f>
        <v/>
      </c>
      <c r="G39" s="16" t="str">
        <f t="shared" si="11"/>
        <v/>
      </c>
      <c r="H39" s="16" t="str">
        <f t="shared" si="11"/>
        <v/>
      </c>
      <c r="I39" s="16" t="str">
        <f t="shared" si="11"/>
        <v/>
      </c>
      <c r="J39" s="16"/>
      <c r="K39" s="16"/>
      <c r="L39" s="16"/>
      <c r="M39" s="17"/>
    </row>
    <row r="40" spans="1:26" x14ac:dyDescent="0.2">
      <c r="G40" s="20" t="s">
        <v>20</v>
      </c>
      <c r="H40" s="20" t="s">
        <v>21</v>
      </c>
      <c r="N40" s="13"/>
      <c r="O40" s="13"/>
    </row>
    <row r="41" spans="1:26" x14ac:dyDescent="0.2">
      <c r="A41" t="s">
        <v>18</v>
      </c>
      <c r="B41" s="11" t="e">
        <f>AVERAGE(B33:B39)</f>
        <v>#DIV/0!</v>
      </c>
      <c r="C41" s="11" t="e">
        <f t="shared" ref="C41:M41" si="12">AVERAGE(C33:C39)</f>
        <v>#DIV/0!</v>
      </c>
      <c r="D41" s="11" t="e">
        <f t="shared" si="12"/>
        <v>#DIV/0!</v>
      </c>
      <c r="E41" s="11" t="e">
        <f t="shared" si="12"/>
        <v>#DIV/0!</v>
      </c>
      <c r="F41" s="11" t="e">
        <f t="shared" si="12"/>
        <v>#DIV/0!</v>
      </c>
      <c r="G41" s="11">
        <f t="shared" si="12"/>
        <v>10.625645734749634</v>
      </c>
      <c r="H41" s="11">
        <f t="shared" si="12"/>
        <v>6.6649845391338234</v>
      </c>
      <c r="I41" s="11" t="e">
        <f t="shared" si="12"/>
        <v>#DIV/0!</v>
      </c>
      <c r="J41" s="11" t="e">
        <f t="shared" si="12"/>
        <v>#DIV/0!</v>
      </c>
      <c r="K41" s="11" t="e">
        <f t="shared" si="12"/>
        <v>#DIV/0!</v>
      </c>
      <c r="L41" s="11" t="e">
        <f t="shared" si="12"/>
        <v>#DIV/0!</v>
      </c>
      <c r="M41" s="11" t="e">
        <f t="shared" si="12"/>
        <v>#DIV/0!</v>
      </c>
      <c r="O41" s="11"/>
      <c r="Q41" s="13"/>
    </row>
    <row r="42" spans="1:26" x14ac:dyDescent="0.2">
      <c r="A42" t="s">
        <v>19</v>
      </c>
      <c r="B42" s="11" t="e">
        <f>_xlfn.STDEV.S(B33:B39)</f>
        <v>#DIV/0!</v>
      </c>
      <c r="C42" s="11" t="e">
        <f t="shared" ref="C42:M42" si="13">_xlfn.STDEV.S(C33:C39)</f>
        <v>#DIV/0!</v>
      </c>
      <c r="D42" s="11" t="e">
        <f t="shared" si="13"/>
        <v>#DIV/0!</v>
      </c>
      <c r="E42" s="11" t="e">
        <f t="shared" si="13"/>
        <v>#DIV/0!</v>
      </c>
      <c r="F42" s="11" t="e">
        <f t="shared" si="13"/>
        <v>#DIV/0!</v>
      </c>
      <c r="G42" s="11">
        <f t="shared" si="13"/>
        <v>0.28674145118552802</v>
      </c>
      <c r="H42" s="11">
        <f t="shared" si="13"/>
        <v>0.30126510899295228</v>
      </c>
      <c r="I42" s="11" t="e">
        <f t="shared" si="13"/>
        <v>#DIV/0!</v>
      </c>
      <c r="J42" s="11" t="e">
        <f t="shared" si="13"/>
        <v>#DIV/0!</v>
      </c>
      <c r="K42" s="11" t="e">
        <f t="shared" si="13"/>
        <v>#DIV/0!</v>
      </c>
      <c r="L42" s="11" t="e">
        <f t="shared" si="13"/>
        <v>#DIV/0!</v>
      </c>
      <c r="M42" s="11" t="e">
        <f t="shared" si="13"/>
        <v>#DIV/0!</v>
      </c>
      <c r="O42" s="11"/>
    </row>
    <row r="43" spans="1:26" x14ac:dyDescent="0.2">
      <c r="C43" s="13"/>
    </row>
    <row r="44" spans="1:26" x14ac:dyDescent="0.2">
      <c r="B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26" x14ac:dyDescent="0.2">
      <c r="B45" s="13"/>
      <c r="O45" s="11"/>
      <c r="P45" s="11"/>
    </row>
    <row r="47" spans="1:26" x14ac:dyDescent="0.2">
      <c r="O47" s="13"/>
    </row>
    <row r="48" spans="1:26" x14ac:dyDescent="0.2">
      <c r="D48" s="13"/>
    </row>
    <row r="49" spans="2:4" x14ac:dyDescent="0.2">
      <c r="D49" s="13"/>
    </row>
    <row r="50" spans="2:4" x14ac:dyDescent="0.2">
      <c r="D50" s="13"/>
    </row>
    <row r="51" spans="2:4" x14ac:dyDescent="0.2">
      <c r="D51" s="13"/>
    </row>
    <row r="52" spans="2:4" x14ac:dyDescent="0.2">
      <c r="D52" s="13"/>
    </row>
    <row r="53" spans="2:4" x14ac:dyDescent="0.2">
      <c r="D53" s="13"/>
    </row>
    <row r="54" spans="2:4" x14ac:dyDescent="0.2">
      <c r="D54" s="13"/>
    </row>
    <row r="55" spans="2:4" x14ac:dyDescent="0.2">
      <c r="D55" s="13"/>
    </row>
    <row r="56" spans="2:4" x14ac:dyDescent="0.2">
      <c r="C56" s="18"/>
      <c r="D56" s="13"/>
    </row>
    <row r="57" spans="2:4" x14ac:dyDescent="0.2">
      <c r="C57" s="18"/>
      <c r="D57" s="13"/>
    </row>
    <row r="58" spans="2:4" x14ac:dyDescent="0.2">
      <c r="B58" s="13"/>
      <c r="D58" s="13"/>
    </row>
    <row r="59" spans="2:4" x14ac:dyDescent="0.2">
      <c r="D59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Yemo Ku</dc:creator>
  <cp:lastModifiedBy>Yemo Ku</cp:lastModifiedBy>
  <dcterms:created xsi:type="dcterms:W3CDTF">2025-07-08T21:03:34Z</dcterms:created>
  <dcterms:modified xsi:type="dcterms:W3CDTF">2025-07-08T22:05:02Z</dcterms:modified>
</cp:coreProperties>
</file>