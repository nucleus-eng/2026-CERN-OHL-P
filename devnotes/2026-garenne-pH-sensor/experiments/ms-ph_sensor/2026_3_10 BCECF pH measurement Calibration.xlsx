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ireauxlabuser\Desktop\David\"/>
    </mc:Choice>
  </mc:AlternateContent>
  <xr:revisionPtr revIDLastSave="0" documentId="13_ncr:1_{09A3DE77-05B1-4F38-87D3-BC37D2490C5E}" xr6:coauthVersionLast="36" xr6:coauthVersionMax="36" xr10:uidLastSave="{00000000-0000-0000-0000-000000000000}"/>
  <bookViews>
    <workbookView xWindow="120" yWindow="120" windowWidth="9435" windowHeight="6915" xr2:uid="{00000000-000D-0000-FFFF-FFFF00000000}"/>
  </bookViews>
  <sheets>
    <sheet name="Plate 5 - Sheet1" sheetId="2" r:id="rId1"/>
  </sheets>
  <definedNames>
    <definedName name="MethodPointer">392105168</definedName>
  </definedNames>
  <calcPr calcId="191029"/>
</workbook>
</file>

<file path=xl/calcChain.xml><?xml version="1.0" encoding="utf-8"?>
<calcChain xmlns="http://schemas.openxmlformats.org/spreadsheetml/2006/main">
  <c r="O58" i="2" l="1"/>
  <c r="O56" i="2"/>
  <c r="L58" i="2"/>
  <c r="K58" i="2"/>
  <c r="J58" i="2"/>
  <c r="I58" i="2"/>
  <c r="H58" i="2"/>
  <c r="G58" i="2"/>
  <c r="L56" i="2"/>
  <c r="K56" i="2"/>
  <c r="J56" i="2"/>
  <c r="I56" i="2"/>
  <c r="H56" i="2"/>
  <c r="G56" i="2"/>
  <c r="P58" i="2" l="1"/>
  <c r="Q58" i="2"/>
  <c r="R58" i="2"/>
  <c r="S58" i="2"/>
  <c r="T58" i="2"/>
  <c r="P56" i="2"/>
  <c r="Q56" i="2"/>
  <c r="R56" i="2"/>
  <c r="S56" i="2"/>
  <c r="T56" i="2"/>
</calcChain>
</file>

<file path=xl/sharedStrings.xml><?xml version="1.0" encoding="utf-8"?>
<sst xmlns="http://schemas.openxmlformats.org/spreadsheetml/2006/main" count="42" uniqueCount="40">
  <si>
    <t>Software Version</t>
  </si>
  <si>
    <t>3.02.1</t>
  </si>
  <si>
    <t>Experiment File Path:</t>
  </si>
  <si>
    <t>Protocol File Path:</t>
  </si>
  <si>
    <t>Plate Number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</si>
  <si>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</si>
  <si>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</si>
  <si>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</si>
  <si>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</si>
  <si>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</si>
  <si>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</si>
  <si>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</si>
  <si>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</si>
  <si>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</si>
  <si>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</si>
  <si>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</si>
  <si>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</si>
  <si>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</si>
  <si>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</si>
  <si>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</si>
  <si>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440/20,  Emission: 535/20</t>
  </si>
  <si>
    <t xml:space="preserve">    Optics: Bottom,  Gain: 40</t>
  </si>
  <si>
    <t>Filter Set 2</t>
  </si>
  <si>
    <t xml:space="preserve">    Excitation: 490/20,  Emission: 535/20</t>
  </si>
  <si>
    <t>Light Source: Xenon Flash,  Lamp Energy: Low,  Standard Dynamic Range</t>
  </si>
  <si>
    <t>Read Speed: Normal,  Delay: 0 msec,  Measurements/Data Point: 10</t>
  </si>
  <si>
    <t>Read Height: 4.5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</si>
  <si>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</si>
  <si>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</si>
  <si>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</si>
  <si>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</si>
  <si>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</si>
  <si>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</si>
  <si>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</si>
  <si>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</si>
  <si>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</si>
  <si>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</si>
  <si>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Plate 5</t>
  </si>
  <si>
    <t>Ratio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</si>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</sst>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3" fontId="5" fillId="0" borderId="0" xfId="1" applyNumberFormat="1" applyFont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15" borderId="3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'Plate 5 - Sheet1'!$N$62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512489063867015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'Plate 5 - Sheet1'!$O$61:$T$61</c:f>
              <c:numCache>
                <c:formatCode>General</c:formatCode>
                <c:ptCount val="6"/>
                <c:pt idx="0">
                  <c:v>1.3308371484630499</c:v>
                </c:pt>
                <c:pt idx="1">
                  <c:v>4.4666666666666668</c:v>
                </c:pt>
                <c:pt idx="2">
                  <c:v>5.3925704877546821</c:v>
                </c:pt>
                <c:pt idx="3">
                  <c:v>6.4765751836103593</c:v>
                </c:pt>
                <c:pt idx="4">
                  <c:v>6.9107403089478288</c:v>
                </c:pt>
                <c:pt idx="5">
                  <c:v>9.009937888198758</c:v>
                </c:pt>
              </c:numCache>
            </c:numRef>
          </c:xVal>
          <c:yVal>
            <c:numRef>
              <c:f>'Plate 5 - Sheet1'!$O$62:$T$62</c:f>
              <c:numCache>
                <c:formatCode>General</c:formatCode>
                <c:ptCount val="6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70-425F-85B5-CC4B4C59B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000576"/>
        <c:axId val="1609765424"/>
      </c:scatterChart>
      <c:valAx>
        <c:axId val="170000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765424"/>
        <c:crosses val="autoZero"/>
        <c:crossBetween val="midCat"/>
      </c:valAx>
      <c:valAx>
        <c:axId val="1609765424"/>
        <c:scaling>
          <c:orientation val="minMax"/>
          <c:max val="9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0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176893</xdr:colOff>
      <xdr:row>23</xdr:row>
      <xdr:rowOff>57152</xdr:rowOff>
    </xdr:from>
    <xdr:to>
      <xdr:col>23</xdr:col>
      <xdr:colOff>462643</xdr:colOff>
      <xdr:row>40</xdr:row>
      <xdr:rowOff>24494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5895DD-10ED-4A45-BFB8-D00585F64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62"/>
  <sheetViews>
    <sheetView tabSelected="1" zoomScale="70" zoomScaleNormal="70" workbookViewId="0">
      <selection activeCell="X55" sqref="X55"/>
    </sheetView>
  </sheetViews>
  <sheetFormatPr defaultRowHeight="12.75" x14ac:dyDescent="0.2"/>
  <cols>
    <col min="1" max="1" width="20.7109375" style="1" customWidth="1"/>
    <col min="2" max="2" width="12.7109375" style="1" customWidth="1"/>
    <col min="3" max="16384" width="9.140625" style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</row>
    <row r="5" spans="1:2" x14ac:dyDescent="0.2">
      <c r="A5" s="1" t="s">
        <v>3</v>
      </c>
    </row>
    <row r="6" spans="1:2" x14ac:dyDescent="0.2">
      <c r="A6" s="1" t="s">
        <v>4</v>
      </c>
      <c r="B6" s="1" t="s">
        <v>37</v>
      </c>
    </row>
    <row r="7" spans="1:2" x14ac:dyDescent="0.2">
      <c r="A7" s="1" t="s">
        <v>5</v>
      </c>
      <c r="B7" s="2">
        <v>45910</v>
      </c>
    </row>
    <row r="8" spans="1:2" x14ac:dyDescent="0.2">
      <c r="A8" s="1" t="s">
        <v>6</v>
      </c>
      <c r="B8" s="3">
        <v>0.58377314814814818</v>
      </c>
    </row>
    <row r="9" spans="1:2" x14ac:dyDescent="0.2">
      <c r="A9" s="1" t="s">
        <v>7</v>
      </c>
      <c r="B9" s="1" t="s">
        <v>8</v>
      </c>
    </row>
    <row r="10" spans="1:2" x14ac:dyDescent="0.2">
      <c r="A10" s="1" t="s">
        <v>9</v>
      </c>
      <c r="B10" s="1">
        <v>1611072</v>
      </c>
    </row>
    <row r="11" spans="1:2" x14ac:dyDescent="0.2">
      <c r="A11" s="1" t="s">
        <v>10</v>
      </c>
      <c r="B11" s="1" t="s">
        <v>11</v>
      </c>
    </row>
    <row r="13" spans="1:2" x14ac:dyDescent="0.2">
      <c r="A13" s="4" t="s">
        <v>12</v>
      </c>
      <c r="B13" s="5"/>
    </row>
    <row r="14" spans="1:2" x14ac:dyDescent="0.2">
      <c r="A14" s="1" t="s">
        <v>13</v>
      </c>
      <c r="B14" s="1" t="s">
        <v>14</v>
      </c>
    </row>
    <row r="15" spans="1:2" x14ac:dyDescent="0.2">
      <c r="A15" s="1" t="s">
        <v>15</v>
      </c>
    </row>
    <row r="16" spans="1:2" x14ac:dyDescent="0.2">
      <c r="A16" s="1" t="s">
        <v>16</v>
      </c>
      <c r="B16" s="1" t="s">
        <v>17</v>
      </c>
    </row>
    <row r="17" spans="1:14" x14ac:dyDescent="0.2">
      <c r="B17" s="1" t="s">
        <v>18</v>
      </c>
    </row>
    <row r="18" spans="1:14" x14ac:dyDescent="0.2">
      <c r="B18" s="1" t="s">
        <v>19</v>
      </c>
    </row>
    <row r="19" spans="1:14" x14ac:dyDescent="0.2">
      <c r="B19" s="1" t="s">
        <v>20</v>
      </c>
    </row>
    <row r="20" spans="1:14" x14ac:dyDescent="0.2">
      <c r="B20" s="1" t="s">
        <v>21</v>
      </c>
    </row>
    <row r="21" spans="1:14" x14ac:dyDescent="0.2">
      <c r="B21" s="1" t="s">
        <v>22</v>
      </c>
    </row>
    <row r="22" spans="1:14" x14ac:dyDescent="0.2">
      <c r="B22" s="1" t="s">
        <v>23</v>
      </c>
    </row>
    <row r="23" spans="1:14" x14ac:dyDescent="0.2">
      <c r="B23" s="1" t="s">
        <v>21</v>
      </c>
    </row>
    <row r="24" spans="1:14" x14ac:dyDescent="0.2">
      <c r="B24" s="1" t="s">
        <v>24</v>
      </c>
    </row>
    <row r="25" spans="1:14" x14ac:dyDescent="0.2">
      <c r="B25" s="1" t="s">
        <v>25</v>
      </c>
    </row>
    <row r="26" spans="1:14" x14ac:dyDescent="0.2">
      <c r="B26" s="1" t="s">
        <v>26</v>
      </c>
    </row>
    <row r="28" spans="1:14" x14ac:dyDescent="0.2">
      <c r="A28" s="4" t="s">
        <v>27</v>
      </c>
      <c r="B28" s="5"/>
    </row>
    <row r="29" spans="1:14" x14ac:dyDescent="0.2">
      <c r="A29" s="1" t="s">
        <v>28</v>
      </c>
      <c r="B29" s="1">
        <v>25.1</v>
      </c>
    </row>
    <row r="30" spans="1:14" x14ac:dyDescent="0.2">
      <c r="A30" s="1" t="s">
        <v>28</v>
      </c>
      <c r="B30" s="1">
        <v>25.1</v>
      </c>
    </row>
    <row r="32" spans="1:14" x14ac:dyDescent="0.2">
      <c r="B32" s="6"/>
      <c r="C32" s="7">
        <v>1</v>
      </c>
      <c r="D32" s="7">
        <v>2</v>
      </c>
      <c r="E32" s="7">
        <v>3</v>
      </c>
      <c r="F32" s="7">
        <v>4</v>
      </c>
      <c r="G32" s="7">
        <v>5</v>
      </c>
      <c r="H32" s="7">
        <v>6</v>
      </c>
      <c r="I32" s="7">
        <v>7</v>
      </c>
      <c r="J32" s="7">
        <v>8</v>
      </c>
      <c r="K32" s="7">
        <v>9</v>
      </c>
      <c r="L32" s="7">
        <v>10</v>
      </c>
      <c r="M32" s="7">
        <v>11</v>
      </c>
      <c r="N32" s="7">
        <v>12</v>
      </c>
    </row>
    <row r="33" spans="2:15" x14ac:dyDescent="0.2">
      <c r="B33" s="30" t="s">
        <v>29</v>
      </c>
      <c r="C33" s="8">
        <v>3</v>
      </c>
      <c r="D33" s="8">
        <v>2</v>
      </c>
      <c r="E33" s="8">
        <v>2</v>
      </c>
      <c r="F33" s="8">
        <v>3</v>
      </c>
      <c r="G33" s="8">
        <v>2</v>
      </c>
      <c r="H33" s="8">
        <v>3</v>
      </c>
      <c r="I33" s="8">
        <v>3</v>
      </c>
      <c r="J33" s="8">
        <v>4</v>
      </c>
      <c r="K33" s="8">
        <v>3</v>
      </c>
      <c r="L33" s="8">
        <v>4</v>
      </c>
      <c r="M33" s="8">
        <v>3</v>
      </c>
      <c r="N33" s="8">
        <v>3</v>
      </c>
      <c r="O33" s="9">
        <v>440535</v>
      </c>
    </row>
    <row r="34" spans="2:15" x14ac:dyDescent="0.2">
      <c r="B34" s="31"/>
      <c r="C34" s="10">
        <v>1</v>
      </c>
      <c r="D34" s="10">
        <v>2</v>
      </c>
      <c r="E34" s="10">
        <v>0</v>
      </c>
      <c r="F34" s="10">
        <v>2</v>
      </c>
      <c r="G34" s="10">
        <v>1</v>
      </c>
      <c r="H34" s="10">
        <v>1</v>
      </c>
      <c r="I34" s="10">
        <v>2</v>
      </c>
      <c r="J34" s="10">
        <v>1</v>
      </c>
      <c r="K34" s="10">
        <v>1</v>
      </c>
      <c r="L34" s="10">
        <v>1</v>
      </c>
      <c r="M34" s="10">
        <v>2</v>
      </c>
      <c r="N34" s="10">
        <v>1</v>
      </c>
      <c r="O34" s="9">
        <v>490535</v>
      </c>
    </row>
    <row r="35" spans="2:15" x14ac:dyDescent="0.2">
      <c r="B35" s="30" t="s">
        <v>30</v>
      </c>
      <c r="C35" s="8">
        <v>4</v>
      </c>
      <c r="D35" s="8">
        <v>3</v>
      </c>
      <c r="E35" s="8">
        <v>2</v>
      </c>
      <c r="F35" s="8">
        <v>4</v>
      </c>
      <c r="G35" s="8">
        <v>2</v>
      </c>
      <c r="H35" s="8">
        <v>3</v>
      </c>
      <c r="I35" s="8">
        <v>3</v>
      </c>
      <c r="J35" s="8">
        <v>4</v>
      </c>
      <c r="K35" s="8">
        <v>3</v>
      </c>
      <c r="L35" s="8">
        <v>3</v>
      </c>
      <c r="M35" s="8">
        <v>3</v>
      </c>
      <c r="N35" s="8">
        <v>4</v>
      </c>
      <c r="O35" s="9">
        <v>440535</v>
      </c>
    </row>
    <row r="36" spans="2:15" x14ac:dyDescent="0.2">
      <c r="B36" s="31"/>
      <c r="C36" s="10">
        <v>0</v>
      </c>
      <c r="D36" s="10">
        <v>1</v>
      </c>
      <c r="E36" s="10">
        <v>2</v>
      </c>
      <c r="F36" s="10">
        <v>1</v>
      </c>
      <c r="G36" s="10">
        <v>2</v>
      </c>
      <c r="H36" s="10">
        <v>0</v>
      </c>
      <c r="I36" s="10">
        <v>1</v>
      </c>
      <c r="J36" s="10">
        <v>1</v>
      </c>
      <c r="K36" s="10">
        <v>2</v>
      </c>
      <c r="L36" s="10">
        <v>2</v>
      </c>
      <c r="M36" s="10">
        <v>1</v>
      </c>
      <c r="N36" s="10">
        <v>1</v>
      </c>
      <c r="O36" s="9">
        <v>490535</v>
      </c>
    </row>
    <row r="37" spans="2:15" x14ac:dyDescent="0.2">
      <c r="B37" s="30" t="s">
        <v>31</v>
      </c>
      <c r="C37" s="8">
        <v>3</v>
      </c>
      <c r="D37" s="8">
        <v>2</v>
      </c>
      <c r="E37" s="8">
        <v>3</v>
      </c>
      <c r="F37" s="11">
        <v>80</v>
      </c>
      <c r="G37" s="12">
        <v>28</v>
      </c>
      <c r="H37" s="13">
        <v>38</v>
      </c>
      <c r="I37" s="13">
        <v>40</v>
      </c>
      <c r="J37" s="13">
        <v>43</v>
      </c>
      <c r="K37" s="8">
        <v>4</v>
      </c>
      <c r="L37" s="8">
        <v>3</v>
      </c>
      <c r="M37" s="8">
        <v>4</v>
      </c>
      <c r="N37" s="8">
        <v>4</v>
      </c>
      <c r="O37" s="9">
        <v>440535</v>
      </c>
    </row>
    <row r="38" spans="2:15" x14ac:dyDescent="0.2">
      <c r="B38" s="31"/>
      <c r="C38" s="10">
        <v>1</v>
      </c>
      <c r="D38" s="10">
        <v>2</v>
      </c>
      <c r="E38" s="10">
        <v>2</v>
      </c>
      <c r="F38" s="14">
        <v>529</v>
      </c>
      <c r="G38" s="10">
        <v>90</v>
      </c>
      <c r="H38" s="15">
        <v>154</v>
      </c>
      <c r="I38" s="15">
        <v>119</v>
      </c>
      <c r="J38" s="10">
        <v>90</v>
      </c>
      <c r="K38" s="10">
        <v>2</v>
      </c>
      <c r="L38" s="10">
        <v>1</v>
      </c>
      <c r="M38" s="10">
        <v>2</v>
      </c>
      <c r="N38" s="10">
        <v>1</v>
      </c>
      <c r="O38" s="9">
        <v>490535</v>
      </c>
    </row>
    <row r="39" spans="2:15" x14ac:dyDescent="0.2">
      <c r="B39" s="30" t="s">
        <v>32</v>
      </c>
      <c r="C39" s="8">
        <v>3</v>
      </c>
      <c r="D39" s="8">
        <v>3</v>
      </c>
      <c r="E39" s="8">
        <v>3</v>
      </c>
      <c r="F39" s="16">
        <v>201</v>
      </c>
      <c r="G39" s="11">
        <v>81</v>
      </c>
      <c r="H39" s="17">
        <v>112</v>
      </c>
      <c r="I39" s="18">
        <v>130</v>
      </c>
      <c r="J39" s="19">
        <v>108</v>
      </c>
      <c r="K39" s="8">
        <v>2</v>
      </c>
      <c r="L39" s="8">
        <v>4</v>
      </c>
      <c r="M39" s="8">
        <v>3</v>
      </c>
      <c r="N39" s="8">
        <v>3</v>
      </c>
      <c r="O39" s="9">
        <v>440535</v>
      </c>
    </row>
    <row r="40" spans="2:15" x14ac:dyDescent="0.2">
      <c r="B40" s="31"/>
      <c r="C40" s="10">
        <v>1</v>
      </c>
      <c r="D40" s="10">
        <v>1</v>
      </c>
      <c r="E40" s="10">
        <v>2</v>
      </c>
      <c r="F40" s="20">
        <v>1496</v>
      </c>
      <c r="G40" s="14">
        <v>532</v>
      </c>
      <c r="H40" s="21">
        <v>741</v>
      </c>
      <c r="I40" s="21">
        <v>723</v>
      </c>
      <c r="J40" s="22">
        <v>385</v>
      </c>
      <c r="K40" s="10">
        <v>1</v>
      </c>
      <c r="L40" s="10">
        <v>1</v>
      </c>
      <c r="M40" s="10">
        <v>1</v>
      </c>
      <c r="N40" s="10">
        <v>1</v>
      </c>
      <c r="O40" s="9">
        <v>490535</v>
      </c>
    </row>
    <row r="41" spans="2:15" x14ac:dyDescent="0.2">
      <c r="B41" s="30" t="s">
        <v>33</v>
      </c>
      <c r="C41" s="8">
        <v>3</v>
      </c>
      <c r="D41" s="8">
        <v>3</v>
      </c>
      <c r="E41" s="8">
        <v>4</v>
      </c>
      <c r="F41" s="8">
        <v>10</v>
      </c>
      <c r="G41" s="8">
        <v>8</v>
      </c>
      <c r="H41" s="8">
        <v>8</v>
      </c>
      <c r="I41" s="8">
        <v>12</v>
      </c>
      <c r="J41" s="8">
        <v>9</v>
      </c>
      <c r="K41" s="8">
        <v>7</v>
      </c>
      <c r="L41" s="8">
        <v>3</v>
      </c>
      <c r="M41" s="8">
        <v>3</v>
      </c>
      <c r="N41" s="8">
        <v>4</v>
      </c>
      <c r="O41" s="9">
        <v>440535</v>
      </c>
    </row>
    <row r="42" spans="2:15" x14ac:dyDescent="0.2">
      <c r="B42" s="31"/>
      <c r="C42" s="10">
        <v>1</v>
      </c>
      <c r="D42" s="10">
        <v>1</v>
      </c>
      <c r="E42" s="10">
        <v>8</v>
      </c>
      <c r="F42" s="10">
        <v>4</v>
      </c>
      <c r="G42" s="10">
        <v>2</v>
      </c>
      <c r="H42" s="10">
        <v>3</v>
      </c>
      <c r="I42" s="10">
        <v>3</v>
      </c>
      <c r="J42" s="10">
        <v>3</v>
      </c>
      <c r="K42" s="10">
        <v>3</v>
      </c>
      <c r="L42" s="10">
        <v>1</v>
      </c>
      <c r="M42" s="10">
        <v>0</v>
      </c>
      <c r="N42" s="10">
        <v>1</v>
      </c>
      <c r="O42" s="9">
        <v>490535</v>
      </c>
    </row>
    <row r="43" spans="2:15" x14ac:dyDescent="0.2">
      <c r="B43" s="30" t="s">
        <v>34</v>
      </c>
      <c r="C43" s="8">
        <v>4</v>
      </c>
      <c r="D43" s="8">
        <v>3</v>
      </c>
      <c r="E43" s="8">
        <v>2</v>
      </c>
      <c r="F43" s="8">
        <v>9</v>
      </c>
      <c r="G43" s="8">
        <v>3</v>
      </c>
      <c r="H43" s="8">
        <v>9</v>
      </c>
      <c r="I43" s="8">
        <v>7</v>
      </c>
      <c r="J43" s="8">
        <v>8</v>
      </c>
      <c r="K43" s="8">
        <v>6</v>
      </c>
      <c r="L43" s="8">
        <v>3</v>
      </c>
      <c r="M43" s="8">
        <v>4</v>
      </c>
      <c r="N43" s="8">
        <v>4</v>
      </c>
      <c r="O43" s="9">
        <v>440535</v>
      </c>
    </row>
    <row r="44" spans="2:15" x14ac:dyDescent="0.2">
      <c r="B44" s="31"/>
      <c r="C44" s="10">
        <v>0</v>
      </c>
      <c r="D44" s="10">
        <v>1</v>
      </c>
      <c r="E44" s="10">
        <v>0</v>
      </c>
      <c r="F44" s="10">
        <v>3</v>
      </c>
      <c r="G44" s="10">
        <v>2</v>
      </c>
      <c r="H44" s="10">
        <v>3</v>
      </c>
      <c r="I44" s="10">
        <v>1</v>
      </c>
      <c r="J44" s="10">
        <v>4</v>
      </c>
      <c r="K44" s="10">
        <v>3</v>
      </c>
      <c r="L44" s="10">
        <v>0</v>
      </c>
      <c r="M44" s="10">
        <v>1</v>
      </c>
      <c r="N44" s="10">
        <v>1</v>
      </c>
      <c r="O44" s="9">
        <v>490535</v>
      </c>
    </row>
    <row r="45" spans="2:15" x14ac:dyDescent="0.2">
      <c r="B45" s="30" t="s">
        <v>35</v>
      </c>
      <c r="C45" s="8">
        <v>3</v>
      </c>
      <c r="D45" s="8">
        <v>2</v>
      </c>
      <c r="E45" s="18">
        <v>139</v>
      </c>
      <c r="F45" s="18">
        <v>135</v>
      </c>
      <c r="G45" s="17">
        <v>113</v>
      </c>
      <c r="H45" s="18">
        <v>130</v>
      </c>
      <c r="I45" s="11">
        <v>94</v>
      </c>
      <c r="J45" s="17">
        <v>115</v>
      </c>
      <c r="K45" s="8">
        <v>3</v>
      </c>
      <c r="L45" s="8">
        <v>3</v>
      </c>
      <c r="M45" s="8">
        <v>3</v>
      </c>
      <c r="N45" s="8">
        <v>4</v>
      </c>
      <c r="O45" s="9">
        <v>440535</v>
      </c>
    </row>
    <row r="46" spans="2:15" x14ac:dyDescent="0.2">
      <c r="B46" s="31"/>
      <c r="C46" s="10">
        <v>1</v>
      </c>
      <c r="D46" s="10">
        <v>0</v>
      </c>
      <c r="E46" s="15">
        <v>164</v>
      </c>
      <c r="F46" s="14">
        <v>586</v>
      </c>
      <c r="G46" s="14">
        <v>567</v>
      </c>
      <c r="H46" s="21">
        <v>802</v>
      </c>
      <c r="I46" s="23">
        <v>591</v>
      </c>
      <c r="J46" s="24">
        <v>1018</v>
      </c>
      <c r="K46" s="10">
        <v>1</v>
      </c>
      <c r="L46" s="10">
        <v>1</v>
      </c>
      <c r="M46" s="10">
        <v>1</v>
      </c>
      <c r="N46" s="10">
        <v>0</v>
      </c>
      <c r="O46" s="9">
        <v>490535</v>
      </c>
    </row>
    <row r="47" spans="2:15" x14ac:dyDescent="0.2">
      <c r="B47" s="30" t="s">
        <v>36</v>
      </c>
      <c r="C47" s="8">
        <v>3</v>
      </c>
      <c r="D47" s="8">
        <v>3</v>
      </c>
      <c r="E47" s="25">
        <v>220</v>
      </c>
      <c r="F47" s="26">
        <v>162</v>
      </c>
      <c r="G47" s="26">
        <v>172</v>
      </c>
      <c r="H47" s="16">
        <v>199</v>
      </c>
      <c r="I47" s="25">
        <v>219</v>
      </c>
      <c r="J47" s="26">
        <v>161</v>
      </c>
      <c r="K47" s="8">
        <v>4</v>
      </c>
      <c r="L47" s="8">
        <v>3</v>
      </c>
      <c r="M47" s="8">
        <v>3</v>
      </c>
      <c r="N47" s="8">
        <v>3</v>
      </c>
      <c r="O47" s="9">
        <v>440535</v>
      </c>
    </row>
    <row r="48" spans="2:15" x14ac:dyDescent="0.2">
      <c r="B48" s="31"/>
      <c r="C48" s="10">
        <v>2</v>
      </c>
      <c r="D48" s="10">
        <v>1</v>
      </c>
      <c r="E48" s="27">
        <v>326</v>
      </c>
      <c r="F48" s="21">
        <v>744</v>
      </c>
      <c r="G48" s="24">
        <v>992</v>
      </c>
      <c r="H48" s="28">
        <v>1350</v>
      </c>
      <c r="I48" s="29">
        <v>1650</v>
      </c>
      <c r="J48" s="20">
        <v>1476</v>
      </c>
      <c r="K48" s="10">
        <v>1</v>
      </c>
      <c r="L48" s="10">
        <v>1</v>
      </c>
      <c r="M48" s="10">
        <v>1</v>
      </c>
      <c r="N48" s="10">
        <v>0</v>
      </c>
      <c r="O48" s="9">
        <v>490535</v>
      </c>
    </row>
    <row r="55" spans="7:20" x14ac:dyDescent="0.2">
      <c r="G55" s="1">
        <v>6</v>
      </c>
      <c r="H55" s="1">
        <v>6.5</v>
      </c>
      <c r="I55" s="1">
        <v>7</v>
      </c>
      <c r="J55" s="1">
        <v>7.5</v>
      </c>
      <c r="K55" s="1">
        <v>8</v>
      </c>
      <c r="L55" s="1">
        <v>8.5</v>
      </c>
      <c r="O55" s="1">
        <v>6</v>
      </c>
      <c r="P55" s="1">
        <v>6.5</v>
      </c>
      <c r="Q55" s="1">
        <v>7</v>
      </c>
      <c r="R55" s="1">
        <v>7.5</v>
      </c>
      <c r="S55" s="1">
        <v>8</v>
      </c>
      <c r="T55" s="1">
        <v>8.5</v>
      </c>
    </row>
    <row r="56" spans="7:20" x14ac:dyDescent="0.2">
      <c r="G56" s="1">
        <f>E46/E45</f>
        <v>1.1798561151079137</v>
      </c>
      <c r="H56" s="1">
        <f>F46/F45</f>
        <v>4.340740740740741</v>
      </c>
      <c r="I56" s="1">
        <f>G46/G45</f>
        <v>5.0176991150442474</v>
      </c>
      <c r="J56" s="1">
        <f>H46/H45</f>
        <v>6.1692307692307695</v>
      </c>
      <c r="K56" s="1">
        <f>I46/I45</f>
        <v>6.2872340425531918</v>
      </c>
      <c r="L56" s="1">
        <f>J46/J45</f>
        <v>8.8521739130434778</v>
      </c>
      <c r="O56" s="1">
        <f>AVERAGE(G56,G58)</f>
        <v>1.3308371484630479</v>
      </c>
      <c r="P56" s="1">
        <f t="shared" ref="P56:T56" si="0">AVERAGE(H56,H58)</f>
        <v>4.4666666666666668</v>
      </c>
      <c r="Q56" s="1">
        <f t="shared" si="0"/>
        <v>5.3925704877546821</v>
      </c>
      <c r="R56" s="1">
        <f t="shared" si="0"/>
        <v>6.4765751836103593</v>
      </c>
      <c r="S56" s="1">
        <f t="shared" si="0"/>
        <v>6.9107403089478288</v>
      </c>
      <c r="T56" s="1">
        <f t="shared" si="0"/>
        <v>9.009937888198758</v>
      </c>
    </row>
    <row r="58" spans="7:20" x14ac:dyDescent="0.2">
      <c r="G58" s="1">
        <f>E48/E47</f>
        <v>1.4818181818181819</v>
      </c>
      <c r="H58" s="1">
        <f>F48/F47</f>
        <v>4.5925925925925926</v>
      </c>
      <c r="I58" s="1">
        <f>G48/G47</f>
        <v>5.7674418604651159</v>
      </c>
      <c r="J58" s="1">
        <f>H48/H47</f>
        <v>6.78391959798995</v>
      </c>
      <c r="K58" s="1">
        <f>I48/I47</f>
        <v>7.5342465753424657</v>
      </c>
      <c r="L58" s="1">
        <f>J48/J47</f>
        <v>9.1677018633540381</v>
      </c>
      <c r="O58" s="1">
        <f>_xlfn.STDEV.P(G56,G58)</f>
        <v>0.15098103335513322</v>
      </c>
      <c r="P58" s="1">
        <f t="shared" ref="P58:T58" si="1">_xlfn.STDEV.P(H56,H58)</f>
        <v>0.12592592592592577</v>
      </c>
      <c r="Q58" s="1">
        <f t="shared" si="1"/>
        <v>0.37487137271043425</v>
      </c>
      <c r="R58" s="1">
        <f t="shared" si="1"/>
        <v>0.30734441437959026</v>
      </c>
      <c r="S58" s="1">
        <f t="shared" si="1"/>
        <v>0.62350626639463691</v>
      </c>
      <c r="T58" s="1">
        <f t="shared" si="1"/>
        <v>0.15776397515528018</v>
      </c>
    </row>
    <row r="61" spans="7:20" x14ac:dyDescent="0.2">
      <c r="N61" s="1" t="s">
        <v>38</v>
      </c>
      <c r="O61" s="1">
        <v>1.3308371484630499</v>
      </c>
      <c r="P61" s="1">
        <v>4.4666666666666668</v>
      </c>
      <c r="Q61" s="1">
        <v>5.3925704877546821</v>
      </c>
      <c r="R61" s="1">
        <v>6.4765751836103593</v>
      </c>
      <c r="S61" s="1">
        <v>6.9107403089478288</v>
      </c>
      <c r="T61" s="1">
        <v>9.009937888198758</v>
      </c>
    </row>
    <row r="62" spans="7:20" x14ac:dyDescent="0.2">
      <c r="N62" s="1" t="s">
        <v>39</v>
      </c>
      <c r="O62" s="1">
        <v>6</v>
      </c>
      <c r="P62" s="1">
        <v>6.5</v>
      </c>
      <c r="Q62" s="1">
        <v>7</v>
      </c>
      <c r="R62" s="1">
        <v>7.5</v>
      </c>
      <c r="S62" s="1">
        <v>8</v>
      </c>
      <c r="T62" s="1">
        <v>8.5</v>
      </c>
    </row>
  </sheetData>
  <mergeCells count="8">
    <mergeCell ref="B45:B46"/>
    <mergeCell ref="B47:B48"/>
    <mergeCell ref="B33:B34"/>
    <mergeCell ref="B35:B36"/>
    <mergeCell ref="B37:B38"/>
    <mergeCell ref="B39:B40"/>
    <mergeCell ref="B41:B42"/>
    <mergeCell ref="B43:B44"/>
  </mergeCell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5 -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noireauxlabuser</dc:creator>
  <cp:lastModifiedBy>noireauxlabuser</cp:lastModifiedBy>
  <dcterms:created xsi:type="dcterms:W3CDTF">2011-01-18T20:51:17Z</dcterms:created>
  <dcterms:modified xsi:type="dcterms:W3CDTF">2026-03-09T17:53:37Z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