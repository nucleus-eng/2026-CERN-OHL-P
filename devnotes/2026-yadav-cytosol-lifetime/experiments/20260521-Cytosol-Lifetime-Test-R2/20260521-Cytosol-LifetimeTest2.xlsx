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surendra/Desktop/"/>
    </mc:Choice>
  </mc:AlternateContent>
  <xr:revisionPtr revIDLastSave="0" documentId="13_ncr:1_{649D7503-BDF3-724F-82B8-BF3BDCD0277F}" xr6:coauthVersionLast="47" xr6:coauthVersionMax="47" xr10:uidLastSave="{00000000-0000-0000-0000-000000000000}"/>
  <bookViews>
    <workbookView xWindow="0" yWindow="680" windowWidth="34200" windowHeight="20060" xr2:uid="{00000000-000D-0000-FFFF-FFFF00000000}"/>
  </bookViews>
  <sheets>
    <sheet name="Cytosol Control (T=0 tRNA DNA)" sheetId="17" r:id="rId1"/>
    <sheet name="Cytosol (T=120 tRNA DNA)" sheetId="3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7" l="1"/>
  <c r="F9" i="37"/>
  <c r="F8" i="37"/>
  <c r="F8" i="17"/>
  <c r="F7" i="37"/>
  <c r="F6" i="37"/>
  <c r="F5" i="37"/>
  <c r="F4" i="37"/>
  <c r="F3" i="37"/>
  <c r="F6" i="17" l="1"/>
  <c r="F7" i="17" l="1"/>
  <c r="F5" i="17"/>
  <c r="F4" i="17"/>
  <c r="F3" i="17"/>
</calcChain>
</file>

<file path=xl/sharedStrings.xml><?xml version="1.0" encoding="utf-8"?>
<sst xmlns="http://schemas.openxmlformats.org/spreadsheetml/2006/main" count="74" uniqueCount="30">
  <si>
    <t>PURE reaction setup for Tag-free ribosomes</t>
  </si>
  <si>
    <t>Component</t>
  </si>
  <si>
    <t>Input concentration</t>
  </si>
  <si>
    <t>Unit</t>
  </si>
  <si>
    <t xml:space="preserve">Final concentration </t>
  </si>
  <si>
    <t>Volume for one reaction [µL]</t>
  </si>
  <si>
    <t>mg/mL</t>
  </si>
  <si>
    <t>×</t>
  </si>
  <si>
    <t>µM</t>
  </si>
  <si>
    <t>nM</t>
  </si>
  <si>
    <t>Water</t>
  </si>
  <si>
    <t>Total volume [µL]</t>
  </si>
  <si>
    <t>Calculation for DNA concentration</t>
  </si>
  <si>
    <t>DNA length [bp]</t>
  </si>
  <si>
    <t>Avg. MW of bp</t>
  </si>
  <si>
    <t>bp</t>
  </si>
  <si>
    <t>g/mol</t>
  </si>
  <si>
    <t>mg/ml</t>
  </si>
  <si>
    <t>pOpen-deGFP DNA</t>
  </si>
  <si>
    <t>pOpen-deGFP DNA (AR-1028)</t>
  </si>
  <si>
    <t>Pmix (AR-975)</t>
  </si>
  <si>
    <t>Ribosome (AR-905)</t>
  </si>
  <si>
    <t>Smix (AR-?)</t>
  </si>
  <si>
    <t>Pmix (AR-?)</t>
  </si>
  <si>
    <t>Ribosome (AR-?)</t>
  </si>
  <si>
    <t>tRNA (AR-?)</t>
  </si>
  <si>
    <t>Smix (AR-895)</t>
  </si>
  <si>
    <t>tRNA (AR-1080)</t>
  </si>
  <si>
    <t>RNAse Inhibitor Murine</t>
  </si>
  <si>
    <t>U/mL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</si>
</sst>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46">
    <xf numFmtId="0" fontId="0" fillId="0" borderId="0" xfId="0"/>
    <xf numFmtId="0" fontId="1" fillId="0" borderId="0" xfId="1" applyFont="1"/>
    <xf numFmtId="0" fontId="3" fillId="0" borderId="0" xfId="1"/>
    <xf numFmtId="0" fontId="3" fillId="0" borderId="0" xfId="1" applyAlignment="1">
      <alignment vertical="center"/>
    </xf>
    <xf numFmtId="0" fontId="1" fillId="0" borderId="0" xfId="1" applyFont="1" applyAlignment="1">
      <alignment horizontal="center"/>
    </xf>
    <xf numFmtId="1" fontId="5" fillId="0" borderId="0" xfId="1" applyNumberFormat="1" applyFont="1" applyAlignment="1">
      <alignment horizontal="center"/>
    </xf>
    <xf numFmtId="2" fontId="3" fillId="0" borderId="0" xfId="1" applyNumberFormat="1"/>
    <xf numFmtId="0" fontId="2" fillId="0" borderId="0" xfId="1" applyFont="1"/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/>
    </xf>
    <xf numFmtId="2" fontId="1" fillId="0" borderId="0" xfId="1" applyNumberFormat="1" applyFont="1" applyAlignment="1">
      <alignment horizontal="center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164" fontId="4" fillId="0" borderId="0" xfId="1" applyNumberFormat="1" applyFont="1"/>
    <xf numFmtId="0" fontId="4" fillId="0" borderId="0" xfId="1" applyFont="1"/>
    <xf numFmtId="164" fontId="1" fillId="0" borderId="0" xfId="1" applyNumberFormat="1" applyFont="1" applyAlignment="1">
      <alignment horizontal="center"/>
    </xf>
    <xf numFmtId="0" fontId="0" fillId="0" borderId="0" xfId="1" applyFont="1" applyAlignment="1">
      <alignment horizontal="center"/>
    </xf>
    <xf numFmtId="0" fontId="1" fillId="0" borderId="1" xfId="1" applyFont="1" applyBorder="1" applyAlignment="1">
      <alignment horizontal="center"/>
    </xf>
    <xf numFmtId="0" fontId="1" fillId="0" borderId="0" xfId="1" applyFont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2" fontId="1" fillId="4" borderId="1" xfId="1" applyNumberFormat="1" applyFont="1" applyFill="1" applyBorder="1" applyAlignment="1">
      <alignment horizontal="center"/>
    </xf>
    <xf numFmtId="2" fontId="1" fillId="0" borderId="1" xfId="1" applyNumberFormat="1" applyFont="1" applyBorder="1" applyAlignment="1">
      <alignment horizontal="center"/>
    </xf>
    <xf numFmtId="0" fontId="1" fillId="4" borderId="1" xfId="1" applyFont="1" applyFill="1" applyBorder="1" applyAlignment="1">
      <alignment horizontal="center"/>
    </xf>
    <xf numFmtId="0" fontId="1" fillId="5" borderId="1" xfId="1" applyFont="1" applyFill="1" applyBorder="1" applyAlignment="1">
      <alignment horizontal="center"/>
    </xf>
    <xf numFmtId="2" fontId="1" fillId="5" borderId="1" xfId="1" applyNumberFormat="1" applyFont="1" applyFill="1" applyBorder="1" applyAlignment="1">
      <alignment horizontal="center"/>
    </xf>
    <xf numFmtId="0" fontId="1" fillId="3" borderId="1" xfId="1" applyFont="1" applyFill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6" fillId="5" borderId="1" xfId="1" applyFont="1" applyFill="1" applyBorder="1" applyAlignment="1">
      <alignment horizontal="center"/>
    </xf>
    <xf numFmtId="0" fontId="2" fillId="0" borderId="2" xfId="1" applyFont="1" applyBorder="1"/>
    <xf numFmtId="0" fontId="1" fillId="0" borderId="3" xfId="1" applyFont="1" applyBorder="1"/>
    <xf numFmtId="0" fontId="1" fillId="0" borderId="4" xfId="1" applyFont="1" applyBorder="1"/>
    <xf numFmtId="0" fontId="2" fillId="0" borderId="5" xfId="1" applyFont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0" fillId="0" borderId="5" xfId="1" applyFont="1" applyBorder="1" applyAlignment="1">
      <alignment horizontal="center"/>
    </xf>
    <xf numFmtId="2" fontId="1" fillId="2" borderId="6" xfId="1" applyNumberFormat="1" applyFont="1" applyFill="1" applyBorder="1" applyAlignment="1">
      <alignment horizontal="center"/>
    </xf>
    <xf numFmtId="0" fontId="1" fillId="0" borderId="5" xfId="1" applyFont="1" applyBorder="1" applyAlignment="1">
      <alignment horizontal="center"/>
    </xf>
    <xf numFmtId="2" fontId="1" fillId="0" borderId="6" xfId="1" applyNumberFormat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1" fillId="0" borderId="6" xfId="1" applyFont="1" applyBorder="1" applyAlignment="1">
      <alignment horizontal="center"/>
    </xf>
    <xf numFmtId="0" fontId="1" fillId="3" borderId="5" xfId="1" applyFont="1" applyFill="1" applyBorder="1" applyAlignment="1">
      <alignment horizontal="center"/>
    </xf>
    <xf numFmtId="0" fontId="2" fillId="0" borderId="6" xfId="1" applyFont="1" applyBorder="1" applyAlignment="1">
      <alignment horizontal="center"/>
    </xf>
    <xf numFmtId="2" fontId="2" fillId="0" borderId="6" xfId="1" applyNumberFormat="1" applyFont="1" applyBorder="1" applyAlignment="1">
      <alignment horizontal="center"/>
    </xf>
    <xf numFmtId="0" fontId="1" fillId="6" borderId="7" xfId="1" applyFont="1" applyFill="1" applyBorder="1" applyAlignment="1">
      <alignment horizontal="center"/>
    </xf>
    <xf numFmtId="0" fontId="1" fillId="6" borderId="8" xfId="1" applyFont="1" applyFill="1" applyBorder="1" applyAlignment="1">
      <alignment horizontal="center"/>
    </xf>
    <xf numFmtId="0" fontId="1" fillId="0" borderId="8" xfId="1" applyFont="1" applyBorder="1" applyAlignment="1">
      <alignment horizontal="center"/>
    </xf>
    <xf numFmtId="1" fontId="5" fillId="0" borderId="9" xfId="1" applyNumberFormat="1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091B6-F4CA-1042-9ECB-42836721ADD8}">
  <dimension ref="A1:N34"/>
  <sheetViews>
    <sheetView showGridLines="0" tabSelected="1" zoomScale="113" zoomScaleNormal="100" workbookViewId="0">
      <selection activeCell="F21" sqref="F21"/>
    </sheetView>
  </sheetViews>
  <sheetFormatPr baseColWidth="10" defaultColWidth="10.6640625" defaultRowHeight="15" x14ac:dyDescent="0.2"/>
  <cols>
    <col min="1" max="1" width="30.6640625" style="2" customWidth="1"/>
    <col min="2" max="2" width="18.1640625" style="2" customWidth="1"/>
    <col min="3" max="3" width="6.5" style="2" customWidth="1"/>
    <col min="4" max="4" width="20" style="2" customWidth="1"/>
    <col min="5" max="5" width="6.6640625" style="2" customWidth="1"/>
    <col min="6" max="6" width="22.1640625" style="2" customWidth="1"/>
    <col min="7" max="7" width="48.33203125" style="2" customWidth="1"/>
    <col min="8" max="8" width="18.5" style="2" customWidth="1"/>
    <col min="9" max="9" width="31.83203125" style="2" customWidth="1"/>
    <col min="10" max="16384" width="10.6640625" style="2"/>
  </cols>
  <sheetData>
    <row r="1" spans="1:14" s="1" customFormat="1" ht="16" x14ac:dyDescent="0.2">
      <c r="A1" s="28" t="s">
        <v>0</v>
      </c>
      <c r="B1" s="29"/>
      <c r="C1" s="29"/>
      <c r="D1" s="29"/>
      <c r="E1" s="29"/>
      <c r="F1" s="30"/>
      <c r="I1" s="9"/>
      <c r="J1" s="4"/>
      <c r="N1" s="7"/>
    </row>
    <row r="2" spans="1:14" ht="41" customHeight="1" x14ac:dyDescent="0.2">
      <c r="A2" s="31" t="s">
        <v>1</v>
      </c>
      <c r="B2" s="19" t="s">
        <v>2</v>
      </c>
      <c r="C2" s="19" t="s">
        <v>3</v>
      </c>
      <c r="D2" s="19" t="s">
        <v>4</v>
      </c>
      <c r="E2" s="19" t="s">
        <v>3</v>
      </c>
      <c r="F2" s="32" t="s">
        <v>5</v>
      </c>
      <c r="I2" s="18"/>
      <c r="J2" s="12"/>
      <c r="K2" s="11"/>
    </row>
    <row r="3" spans="1:14" ht="16" x14ac:dyDescent="0.2">
      <c r="A3" s="33" t="s">
        <v>26</v>
      </c>
      <c r="B3" s="20">
        <v>3.33</v>
      </c>
      <c r="C3" s="21" t="s">
        <v>7</v>
      </c>
      <c r="D3" s="22">
        <v>1</v>
      </c>
      <c r="E3" s="21" t="s">
        <v>7</v>
      </c>
      <c r="F3" s="34">
        <f t="shared" ref="F3:F8" si="0">$A$12*D3/B3</f>
        <v>10.51051051051051</v>
      </c>
      <c r="J3" s="14"/>
      <c r="K3" s="14"/>
      <c r="L3" s="14"/>
      <c r="M3" s="14"/>
      <c r="N3" s="14"/>
    </row>
    <row r="4" spans="1:14" ht="16" x14ac:dyDescent="0.2">
      <c r="A4" s="35" t="s">
        <v>20</v>
      </c>
      <c r="B4" s="17">
        <v>15</v>
      </c>
      <c r="C4" s="21" t="s">
        <v>6</v>
      </c>
      <c r="D4" s="24">
        <v>1.8</v>
      </c>
      <c r="E4" s="17" t="s">
        <v>6</v>
      </c>
      <c r="F4" s="34">
        <f t="shared" si="0"/>
        <v>4.2</v>
      </c>
      <c r="J4" s="6"/>
      <c r="K4" s="6"/>
      <c r="L4" s="6"/>
      <c r="M4" s="6"/>
      <c r="N4" s="6"/>
    </row>
    <row r="5" spans="1:14" ht="16" x14ac:dyDescent="0.2">
      <c r="A5" s="35" t="s">
        <v>21</v>
      </c>
      <c r="B5" s="23">
        <v>10</v>
      </c>
      <c r="C5" s="21" t="s">
        <v>8</v>
      </c>
      <c r="D5" s="27">
        <v>1.8</v>
      </c>
      <c r="E5" s="17" t="s">
        <v>8</v>
      </c>
      <c r="F5" s="34">
        <f t="shared" si="0"/>
        <v>6.3</v>
      </c>
      <c r="J5" s="6"/>
      <c r="K5" s="6"/>
      <c r="L5" s="6"/>
      <c r="M5" s="6"/>
      <c r="N5" s="6"/>
    </row>
    <row r="6" spans="1:14" ht="16" x14ac:dyDescent="0.2">
      <c r="A6" s="35" t="s">
        <v>19</v>
      </c>
      <c r="B6" s="17">
        <v>60</v>
      </c>
      <c r="C6" s="21" t="s">
        <v>9</v>
      </c>
      <c r="D6" s="25">
        <v>3</v>
      </c>
      <c r="E6" s="17" t="s">
        <v>9</v>
      </c>
      <c r="F6" s="34">
        <f t="shared" si="0"/>
        <v>1.75</v>
      </c>
    </row>
    <row r="7" spans="1:14" ht="16" x14ac:dyDescent="0.2">
      <c r="A7" s="35" t="s">
        <v>27</v>
      </c>
      <c r="B7" s="25">
        <v>35</v>
      </c>
      <c r="C7" s="21" t="s">
        <v>17</v>
      </c>
      <c r="D7" s="25">
        <v>3.5</v>
      </c>
      <c r="E7" s="17" t="s">
        <v>17</v>
      </c>
      <c r="F7" s="34">
        <f t="shared" si="0"/>
        <v>3.5</v>
      </c>
    </row>
    <row r="8" spans="1:14" ht="16" x14ac:dyDescent="0.2">
      <c r="A8" s="35" t="s">
        <v>28</v>
      </c>
      <c r="B8" s="25">
        <v>40000</v>
      </c>
      <c r="C8" s="17" t="s">
        <v>29</v>
      </c>
      <c r="D8" s="25">
        <v>2000</v>
      </c>
      <c r="E8" s="17" t="s">
        <v>29</v>
      </c>
      <c r="F8" s="34">
        <f t="shared" si="0"/>
        <v>1.75</v>
      </c>
    </row>
    <row r="9" spans="1:14" ht="16" x14ac:dyDescent="0.2">
      <c r="A9" s="33" t="s">
        <v>10</v>
      </c>
      <c r="B9" s="17"/>
      <c r="C9" s="17"/>
      <c r="D9" s="17"/>
      <c r="E9" s="17"/>
      <c r="F9" s="34">
        <f>A12-(SUM(F3:F8))</f>
        <v>6.9894894894894897</v>
      </c>
    </row>
    <row r="10" spans="1:14" ht="16" x14ac:dyDescent="0.2">
      <c r="A10" s="35"/>
      <c r="B10" s="17"/>
      <c r="C10" s="17"/>
      <c r="D10" s="17"/>
      <c r="E10" s="17"/>
      <c r="F10" s="36"/>
    </row>
    <row r="11" spans="1:14" ht="16" x14ac:dyDescent="0.2">
      <c r="A11" s="37" t="s">
        <v>11</v>
      </c>
      <c r="B11" s="26"/>
      <c r="C11" s="17"/>
      <c r="D11" s="17"/>
      <c r="E11" s="17"/>
      <c r="F11" s="38"/>
    </row>
    <row r="12" spans="1:14" ht="16" x14ac:dyDescent="0.2">
      <c r="A12" s="39">
        <v>35</v>
      </c>
      <c r="B12" s="17"/>
      <c r="C12" s="17"/>
      <c r="D12" s="17"/>
      <c r="E12" s="17"/>
      <c r="F12" s="36"/>
    </row>
    <row r="13" spans="1:14" ht="16" x14ac:dyDescent="0.2">
      <c r="A13" s="35"/>
      <c r="B13" s="17"/>
      <c r="C13" s="17"/>
      <c r="D13" s="17"/>
      <c r="E13" s="17"/>
      <c r="F13" s="36"/>
      <c r="I13" s="9"/>
      <c r="J13" s="4"/>
      <c r="K13" s="1"/>
      <c r="L13" s="1"/>
      <c r="M13" s="1"/>
      <c r="N13" s="7"/>
    </row>
    <row r="14" spans="1:14" ht="16" x14ac:dyDescent="0.2">
      <c r="A14" s="37" t="s">
        <v>12</v>
      </c>
      <c r="B14" s="26" t="s">
        <v>13</v>
      </c>
      <c r="C14" s="26" t="s">
        <v>3</v>
      </c>
      <c r="D14" s="26" t="s">
        <v>14</v>
      </c>
      <c r="E14" s="26" t="s">
        <v>3</v>
      </c>
      <c r="F14" s="40"/>
      <c r="I14" s="11"/>
      <c r="J14" s="12"/>
      <c r="K14" s="11"/>
    </row>
    <row r="15" spans="1:14" ht="16" x14ac:dyDescent="0.2">
      <c r="A15" s="35" t="s">
        <v>18</v>
      </c>
      <c r="B15" s="25">
        <v>2812</v>
      </c>
      <c r="C15" s="17" t="s">
        <v>15</v>
      </c>
      <c r="D15" s="17">
        <v>650</v>
      </c>
      <c r="E15" s="17" t="s">
        <v>16</v>
      </c>
      <c r="F15" s="41"/>
      <c r="J15" s="13"/>
      <c r="K15" s="14"/>
      <c r="L15" s="14"/>
      <c r="M15" s="14"/>
      <c r="N15" s="14"/>
    </row>
    <row r="16" spans="1:14" ht="17" thickBot="1" x14ac:dyDescent="0.25">
      <c r="A16" s="42"/>
      <c r="B16" s="43"/>
      <c r="C16" s="44" t="s">
        <v>15</v>
      </c>
      <c r="D16" s="44">
        <v>650</v>
      </c>
      <c r="E16" s="44" t="s">
        <v>16</v>
      </c>
      <c r="F16" s="45"/>
      <c r="J16" s="6"/>
      <c r="K16" s="6"/>
      <c r="L16" s="6"/>
      <c r="M16" s="6"/>
      <c r="N16" s="6"/>
    </row>
    <row r="17" spans="1:14" ht="16" x14ac:dyDescent="0.2">
      <c r="A17" s="4"/>
      <c r="B17" s="4"/>
      <c r="C17" s="4"/>
      <c r="D17" s="4"/>
      <c r="E17" s="4"/>
      <c r="F17" s="5"/>
      <c r="J17" s="6"/>
      <c r="K17" s="6"/>
      <c r="L17" s="6"/>
      <c r="M17" s="6"/>
      <c r="N17" s="6"/>
    </row>
    <row r="18" spans="1:14" ht="16" x14ac:dyDescent="0.2">
      <c r="A18" s="7"/>
      <c r="B18" s="1"/>
      <c r="C18" s="1"/>
      <c r="D18" s="1"/>
      <c r="E18" s="1"/>
      <c r="F18" s="1"/>
    </row>
    <row r="19" spans="1:14" s="3" customFormat="1" ht="38" customHeight="1" x14ac:dyDescent="0.2">
      <c r="A19" s="8"/>
      <c r="B19" s="8"/>
      <c r="C19" s="8"/>
      <c r="D19" s="8"/>
      <c r="E19" s="8"/>
      <c r="F19" s="8"/>
      <c r="I19" s="9"/>
      <c r="J19" s="4"/>
      <c r="K19" s="1"/>
      <c r="L19" s="1"/>
      <c r="M19" s="1"/>
      <c r="N19" s="7"/>
    </row>
    <row r="20" spans="1:14" ht="16" x14ac:dyDescent="0.2">
      <c r="A20" s="4"/>
      <c r="B20" s="10"/>
      <c r="C20" s="10"/>
      <c r="D20" s="4"/>
      <c r="E20" s="10"/>
      <c r="F20" s="10"/>
      <c r="I20" s="11"/>
      <c r="J20" s="12"/>
      <c r="K20" s="11"/>
    </row>
    <row r="21" spans="1:14" ht="16" x14ac:dyDescent="0.2">
      <c r="A21" s="4"/>
      <c r="B21" s="4"/>
      <c r="C21" s="10"/>
      <c r="D21" s="10"/>
      <c r="E21" s="4"/>
      <c r="F21" s="10"/>
      <c r="J21" s="13"/>
      <c r="K21" s="14"/>
      <c r="L21" s="14"/>
      <c r="M21" s="14"/>
      <c r="N21" s="14"/>
    </row>
    <row r="22" spans="1:14" ht="16" x14ac:dyDescent="0.2">
      <c r="A22" s="4"/>
      <c r="B22" s="4"/>
      <c r="C22" s="10"/>
      <c r="D22" s="15"/>
      <c r="E22" s="4"/>
      <c r="F22" s="10"/>
      <c r="J22" s="6"/>
      <c r="K22" s="6"/>
      <c r="L22" s="6"/>
      <c r="M22" s="6"/>
      <c r="N22" s="6"/>
    </row>
    <row r="23" spans="1:14" ht="16" x14ac:dyDescent="0.2">
      <c r="A23" s="4"/>
      <c r="B23" s="4"/>
      <c r="C23" s="10"/>
      <c r="D23" s="4"/>
      <c r="E23" s="4"/>
      <c r="F23" s="10"/>
      <c r="J23" s="6"/>
      <c r="K23" s="6"/>
      <c r="L23" s="6"/>
      <c r="M23" s="6"/>
      <c r="N23" s="6"/>
    </row>
    <row r="24" spans="1:14" ht="16" x14ac:dyDescent="0.2">
      <c r="A24" s="4"/>
      <c r="B24" s="4"/>
      <c r="C24" s="10"/>
      <c r="D24" s="4"/>
      <c r="E24" s="4"/>
      <c r="F24" s="10"/>
    </row>
    <row r="25" spans="1:14" ht="16" x14ac:dyDescent="0.2">
      <c r="A25" s="4"/>
      <c r="B25" s="4"/>
      <c r="C25" s="10"/>
      <c r="D25" s="4"/>
      <c r="E25" s="10"/>
      <c r="F25" s="10"/>
    </row>
    <row r="26" spans="1:14" ht="16" x14ac:dyDescent="0.2">
      <c r="A26" s="16"/>
      <c r="B26" s="4"/>
      <c r="C26" s="10"/>
      <c r="D26" s="4"/>
      <c r="E26" s="10"/>
      <c r="F26" s="10"/>
    </row>
    <row r="27" spans="1:14" ht="16" x14ac:dyDescent="0.2">
      <c r="A27" s="4"/>
      <c r="B27" s="4"/>
      <c r="C27" s="4"/>
      <c r="D27" s="4"/>
      <c r="E27" s="4"/>
      <c r="F27" s="10"/>
    </row>
    <row r="28" spans="1:14" ht="16" x14ac:dyDescent="0.2">
      <c r="A28" s="4"/>
      <c r="B28" s="4"/>
      <c r="C28" s="4"/>
      <c r="D28" s="4"/>
      <c r="E28" s="4"/>
      <c r="F28" s="4"/>
    </row>
    <row r="29" spans="1:14" ht="16" x14ac:dyDescent="0.2">
      <c r="A29" s="9"/>
      <c r="B29" s="9"/>
      <c r="C29" s="4"/>
      <c r="D29" s="4"/>
      <c r="E29" s="4"/>
      <c r="F29" s="4"/>
    </row>
    <row r="30" spans="1:14" ht="16" x14ac:dyDescent="0.2">
      <c r="A30" s="4"/>
      <c r="B30" s="4"/>
      <c r="C30" s="4"/>
      <c r="D30" s="4"/>
      <c r="E30" s="4"/>
      <c r="F30" s="4"/>
    </row>
    <row r="31" spans="1:14" ht="16" x14ac:dyDescent="0.2">
      <c r="A31" s="4"/>
      <c r="B31" s="4"/>
      <c r="C31" s="4"/>
      <c r="D31" s="4"/>
      <c r="E31" s="4"/>
      <c r="F31" s="4"/>
    </row>
    <row r="32" spans="1:14" ht="16" x14ac:dyDescent="0.2">
      <c r="A32" s="9"/>
      <c r="B32" s="9"/>
      <c r="C32" s="9"/>
      <c r="D32" s="9"/>
      <c r="E32" s="9"/>
      <c r="F32" s="9"/>
    </row>
    <row r="33" spans="1:6" ht="16" x14ac:dyDescent="0.2">
      <c r="A33" s="4"/>
      <c r="B33" s="4"/>
      <c r="C33" s="4"/>
      <c r="D33" s="4"/>
      <c r="E33" s="4"/>
      <c r="F33" s="9"/>
    </row>
    <row r="34" spans="1:6" ht="16" x14ac:dyDescent="0.2">
      <c r="A34" s="4"/>
      <c r="B34" s="4"/>
      <c r="C34" s="4"/>
      <c r="D34" s="4"/>
      <c r="E34" s="4"/>
      <c r="F34" s="5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82F24-65C4-BC4F-A9B7-05C413A0FFB3}">
  <dimension ref="A1:N34"/>
  <sheetViews>
    <sheetView showGridLines="0" zoomScale="113" zoomScaleNormal="100" workbookViewId="0">
      <selection activeCell="F10" sqref="F10"/>
    </sheetView>
  </sheetViews>
  <sheetFormatPr baseColWidth="10" defaultColWidth="10.6640625" defaultRowHeight="15" x14ac:dyDescent="0.2"/>
  <cols>
    <col min="1" max="1" width="30.6640625" style="2" customWidth="1"/>
    <col min="2" max="2" width="18.1640625" style="2" customWidth="1"/>
    <col min="3" max="3" width="6.5" style="2" customWidth="1"/>
    <col min="4" max="4" width="20" style="2" customWidth="1"/>
    <col min="5" max="5" width="6.6640625" style="2" customWidth="1"/>
    <col min="6" max="6" width="22.1640625" style="2" customWidth="1"/>
    <col min="7" max="7" width="48.33203125" style="2" customWidth="1"/>
    <col min="8" max="8" width="18.5" style="2" customWidth="1"/>
    <col min="9" max="9" width="31.83203125" style="2" customWidth="1"/>
    <col min="10" max="16384" width="10.6640625" style="2"/>
  </cols>
  <sheetData>
    <row r="1" spans="1:14" s="1" customFormat="1" ht="16" x14ac:dyDescent="0.2">
      <c r="A1" s="28" t="s">
        <v>0</v>
      </c>
      <c r="B1" s="29"/>
      <c r="C1" s="29"/>
      <c r="D1" s="29"/>
      <c r="E1" s="29"/>
      <c r="F1" s="30"/>
      <c r="I1" s="9"/>
      <c r="J1" s="4"/>
      <c r="N1" s="7"/>
    </row>
    <row r="2" spans="1:14" ht="41" customHeight="1" x14ac:dyDescent="0.2">
      <c r="A2" s="31" t="s">
        <v>1</v>
      </c>
      <c r="B2" s="19" t="s">
        <v>2</v>
      </c>
      <c r="C2" s="19" t="s">
        <v>3</v>
      </c>
      <c r="D2" s="19" t="s">
        <v>4</v>
      </c>
      <c r="E2" s="19" t="s">
        <v>3</v>
      </c>
      <c r="F2" s="32" t="s">
        <v>5</v>
      </c>
      <c r="I2" s="18"/>
      <c r="J2" s="12"/>
      <c r="K2" s="11"/>
    </row>
    <row r="3" spans="1:14" ht="16" x14ac:dyDescent="0.2">
      <c r="A3" s="33" t="s">
        <v>22</v>
      </c>
      <c r="B3" s="20">
        <v>3.33</v>
      </c>
      <c r="C3" s="21" t="s">
        <v>7</v>
      </c>
      <c r="D3" s="22">
        <v>1</v>
      </c>
      <c r="E3" s="21" t="s">
        <v>7</v>
      </c>
      <c r="F3" s="34">
        <f t="shared" ref="F3:F8" si="0">$A$12*D3/B3</f>
        <v>10.51051051051051</v>
      </c>
      <c r="J3" s="14"/>
      <c r="K3" s="14"/>
      <c r="L3" s="14"/>
      <c r="M3" s="14"/>
      <c r="N3" s="14"/>
    </row>
    <row r="4" spans="1:14" ht="16" x14ac:dyDescent="0.2">
      <c r="A4" s="35" t="s">
        <v>23</v>
      </c>
      <c r="B4" s="17">
        <v>15</v>
      </c>
      <c r="C4" s="21" t="s">
        <v>6</v>
      </c>
      <c r="D4" s="24">
        <v>1.8</v>
      </c>
      <c r="E4" s="17" t="s">
        <v>6</v>
      </c>
      <c r="F4" s="34">
        <f t="shared" si="0"/>
        <v>4.2</v>
      </c>
      <c r="J4" s="6"/>
      <c r="K4" s="6"/>
      <c r="L4" s="6"/>
      <c r="M4" s="6"/>
      <c r="N4" s="6"/>
    </row>
    <row r="5" spans="1:14" ht="16" x14ac:dyDescent="0.2">
      <c r="A5" s="35" t="s">
        <v>24</v>
      </c>
      <c r="B5" s="23">
        <v>10</v>
      </c>
      <c r="C5" s="21" t="s">
        <v>8</v>
      </c>
      <c r="D5" s="27">
        <v>1.8</v>
      </c>
      <c r="E5" s="17" t="s">
        <v>8</v>
      </c>
      <c r="F5" s="34">
        <f t="shared" si="0"/>
        <v>6.3</v>
      </c>
      <c r="J5" s="6"/>
      <c r="K5" s="6"/>
      <c r="L5" s="6"/>
      <c r="M5" s="6"/>
      <c r="N5" s="6"/>
    </row>
    <row r="6" spans="1:14" ht="16" x14ac:dyDescent="0.2">
      <c r="A6" s="35" t="s">
        <v>19</v>
      </c>
      <c r="B6" s="17">
        <v>60</v>
      </c>
      <c r="C6" s="21" t="s">
        <v>9</v>
      </c>
      <c r="D6" s="25">
        <v>3</v>
      </c>
      <c r="E6" s="17" t="s">
        <v>9</v>
      </c>
      <c r="F6" s="34">
        <f t="shared" si="0"/>
        <v>1.75</v>
      </c>
    </row>
    <row r="7" spans="1:14" ht="16" x14ac:dyDescent="0.2">
      <c r="A7" s="35" t="s">
        <v>25</v>
      </c>
      <c r="B7" s="25">
        <v>35</v>
      </c>
      <c r="C7" s="21" t="s">
        <v>17</v>
      </c>
      <c r="D7" s="25">
        <v>3.5</v>
      </c>
      <c r="E7" s="17" t="s">
        <v>17</v>
      </c>
      <c r="F7" s="34">
        <f t="shared" si="0"/>
        <v>3.5</v>
      </c>
    </row>
    <row r="8" spans="1:14" ht="16" x14ac:dyDescent="0.2">
      <c r="A8" s="35" t="s">
        <v>28</v>
      </c>
      <c r="B8" s="25">
        <v>40000</v>
      </c>
      <c r="C8" s="17" t="s">
        <v>29</v>
      </c>
      <c r="D8" s="25">
        <v>2000</v>
      </c>
      <c r="E8" s="17" t="s">
        <v>29</v>
      </c>
      <c r="F8" s="34">
        <f t="shared" si="0"/>
        <v>1.75</v>
      </c>
    </row>
    <row r="9" spans="1:14" ht="16" x14ac:dyDescent="0.2">
      <c r="A9" s="33" t="s">
        <v>10</v>
      </c>
      <c r="B9" s="17"/>
      <c r="C9" s="17"/>
      <c r="D9" s="17"/>
      <c r="E9" s="17"/>
      <c r="F9" s="34">
        <f>A12-(SUM(F3:F8))</f>
        <v>6.9894894894894897</v>
      </c>
    </row>
    <row r="10" spans="1:14" ht="16" x14ac:dyDescent="0.2">
      <c r="A10" s="35"/>
      <c r="B10" s="17"/>
      <c r="C10" s="17"/>
      <c r="D10" s="17"/>
      <c r="E10" s="17"/>
      <c r="F10" s="36"/>
    </row>
    <row r="11" spans="1:14" ht="16" x14ac:dyDescent="0.2">
      <c r="A11" s="37" t="s">
        <v>11</v>
      </c>
      <c r="B11" s="26"/>
      <c r="C11" s="17"/>
      <c r="D11" s="17"/>
      <c r="E11" s="17"/>
      <c r="F11" s="38"/>
    </row>
    <row r="12" spans="1:14" ht="16" x14ac:dyDescent="0.2">
      <c r="A12" s="39">
        <v>35</v>
      </c>
      <c r="B12" s="17"/>
      <c r="C12" s="17"/>
      <c r="D12" s="17"/>
      <c r="E12" s="17"/>
      <c r="F12" s="36"/>
    </row>
    <row r="13" spans="1:14" ht="16" x14ac:dyDescent="0.2">
      <c r="A13" s="35"/>
      <c r="B13" s="17"/>
      <c r="C13" s="17"/>
      <c r="D13" s="17"/>
      <c r="E13" s="17"/>
      <c r="F13" s="36"/>
      <c r="I13" s="9"/>
      <c r="J13" s="4"/>
      <c r="K13" s="1"/>
      <c r="L13" s="1"/>
      <c r="M13" s="1"/>
      <c r="N13" s="7"/>
    </row>
    <row r="14" spans="1:14" ht="16" x14ac:dyDescent="0.2">
      <c r="A14" s="37" t="s">
        <v>12</v>
      </c>
      <c r="B14" s="26" t="s">
        <v>13</v>
      </c>
      <c r="C14" s="26" t="s">
        <v>3</v>
      </c>
      <c r="D14" s="26" t="s">
        <v>14</v>
      </c>
      <c r="E14" s="26" t="s">
        <v>3</v>
      </c>
      <c r="F14" s="40"/>
      <c r="I14" s="11"/>
      <c r="J14" s="12"/>
      <c r="K14" s="11"/>
    </row>
    <row r="15" spans="1:14" ht="16" x14ac:dyDescent="0.2">
      <c r="A15" s="35" t="s">
        <v>18</v>
      </c>
      <c r="B15" s="25">
        <v>2812</v>
      </c>
      <c r="C15" s="17" t="s">
        <v>15</v>
      </c>
      <c r="D15" s="17">
        <v>650</v>
      </c>
      <c r="E15" s="17" t="s">
        <v>16</v>
      </c>
      <c r="F15" s="41"/>
      <c r="J15" s="13"/>
      <c r="K15" s="14"/>
      <c r="L15" s="14"/>
      <c r="M15" s="14"/>
      <c r="N15" s="14"/>
    </row>
    <row r="16" spans="1:14" ht="17" thickBot="1" x14ac:dyDescent="0.25">
      <c r="A16" s="42"/>
      <c r="B16" s="43"/>
      <c r="C16" s="44" t="s">
        <v>15</v>
      </c>
      <c r="D16" s="44">
        <v>650</v>
      </c>
      <c r="E16" s="44" t="s">
        <v>16</v>
      </c>
      <c r="F16" s="45"/>
      <c r="J16" s="6"/>
      <c r="K16" s="6"/>
      <c r="L16" s="6"/>
      <c r="M16" s="6"/>
      <c r="N16" s="6"/>
    </row>
    <row r="17" spans="1:14" ht="16" x14ac:dyDescent="0.2">
      <c r="A17" s="4"/>
      <c r="B17" s="4"/>
      <c r="C17" s="4"/>
      <c r="D17" s="4"/>
      <c r="E17" s="4"/>
      <c r="F17" s="5"/>
      <c r="J17" s="6"/>
      <c r="K17" s="6"/>
      <c r="L17" s="6"/>
      <c r="M17" s="6"/>
      <c r="N17" s="6"/>
    </row>
    <row r="18" spans="1:14" ht="16" x14ac:dyDescent="0.2">
      <c r="A18" s="7"/>
      <c r="B18" s="1"/>
      <c r="C18" s="1"/>
      <c r="D18" s="1"/>
      <c r="E18" s="1"/>
      <c r="F18" s="1"/>
    </row>
    <row r="19" spans="1:14" s="3" customFormat="1" ht="38" customHeight="1" x14ac:dyDescent="0.2">
      <c r="A19" s="8"/>
      <c r="B19" s="8"/>
      <c r="C19" s="8"/>
      <c r="D19" s="8"/>
      <c r="E19" s="8"/>
      <c r="F19" s="8"/>
      <c r="I19" s="9"/>
      <c r="J19" s="4"/>
      <c r="K19" s="1"/>
      <c r="L19" s="1"/>
      <c r="M19" s="1"/>
      <c r="N19" s="7"/>
    </row>
    <row r="20" spans="1:14" ht="16" x14ac:dyDescent="0.2">
      <c r="A20" s="4"/>
      <c r="B20" s="10"/>
      <c r="C20" s="10"/>
      <c r="D20" s="4"/>
      <c r="E20" s="10"/>
      <c r="F20" s="10"/>
      <c r="I20" s="11"/>
      <c r="J20" s="12"/>
      <c r="K20" s="11"/>
    </row>
    <row r="21" spans="1:14" ht="16" x14ac:dyDescent="0.2">
      <c r="A21" s="4"/>
      <c r="B21" s="4"/>
      <c r="C21" s="10"/>
      <c r="D21" s="10"/>
      <c r="E21" s="4"/>
      <c r="F21" s="10"/>
      <c r="J21" s="13"/>
      <c r="K21" s="14"/>
      <c r="L21" s="14"/>
      <c r="M21" s="14"/>
      <c r="N21" s="14"/>
    </row>
    <row r="22" spans="1:14" ht="16" x14ac:dyDescent="0.2">
      <c r="A22" s="4"/>
      <c r="B22" s="4"/>
      <c r="C22" s="10"/>
      <c r="D22" s="15"/>
      <c r="E22" s="4"/>
      <c r="F22" s="10"/>
      <c r="J22" s="6"/>
      <c r="K22" s="6"/>
      <c r="L22" s="6"/>
      <c r="M22" s="6"/>
      <c r="N22" s="6"/>
    </row>
    <row r="23" spans="1:14" ht="16" x14ac:dyDescent="0.2">
      <c r="A23" s="4"/>
      <c r="B23" s="4"/>
      <c r="C23" s="10"/>
      <c r="D23" s="4"/>
      <c r="E23" s="4"/>
      <c r="F23" s="10"/>
      <c r="J23" s="6"/>
      <c r="K23" s="6"/>
      <c r="L23" s="6"/>
      <c r="M23" s="6"/>
      <c r="N23" s="6"/>
    </row>
    <row r="24" spans="1:14" ht="16" x14ac:dyDescent="0.2">
      <c r="A24" s="4"/>
      <c r="B24" s="4"/>
      <c r="C24" s="10"/>
      <c r="D24" s="4"/>
      <c r="E24" s="4"/>
      <c r="F24" s="10"/>
    </row>
    <row r="25" spans="1:14" ht="16" x14ac:dyDescent="0.2">
      <c r="A25" s="4"/>
      <c r="B25" s="4"/>
      <c r="C25" s="10"/>
      <c r="D25" s="4"/>
      <c r="E25" s="10"/>
      <c r="F25" s="10"/>
    </row>
    <row r="26" spans="1:14" ht="16" x14ac:dyDescent="0.2">
      <c r="A26" s="16"/>
      <c r="B26" s="4"/>
      <c r="C26" s="10"/>
      <c r="D26" s="4"/>
      <c r="E26" s="10"/>
      <c r="F26" s="10"/>
    </row>
    <row r="27" spans="1:14" ht="16" x14ac:dyDescent="0.2">
      <c r="A27" s="4"/>
      <c r="B27" s="4"/>
      <c r="C27" s="4"/>
      <c r="D27" s="4"/>
      <c r="E27" s="4"/>
      <c r="F27" s="10"/>
    </row>
    <row r="28" spans="1:14" ht="16" x14ac:dyDescent="0.2">
      <c r="A28" s="4"/>
      <c r="B28" s="4"/>
      <c r="C28" s="4"/>
      <c r="D28" s="4"/>
      <c r="E28" s="4"/>
      <c r="F28" s="4"/>
    </row>
    <row r="29" spans="1:14" ht="16" x14ac:dyDescent="0.2">
      <c r="A29" s="9"/>
      <c r="B29" s="9"/>
      <c r="C29" s="4"/>
      <c r="D29" s="4"/>
      <c r="E29" s="4"/>
      <c r="F29" s="4"/>
    </row>
    <row r="30" spans="1:14" ht="16" x14ac:dyDescent="0.2">
      <c r="A30" s="4"/>
      <c r="B30" s="4"/>
      <c r="C30" s="4"/>
      <c r="D30" s="4"/>
      <c r="E30" s="4"/>
      <c r="F30" s="4"/>
    </row>
    <row r="31" spans="1:14" ht="16" x14ac:dyDescent="0.2">
      <c r="A31" s="4"/>
      <c r="B31" s="4"/>
      <c r="C31" s="4"/>
      <c r="D31" s="4"/>
      <c r="E31" s="4"/>
      <c r="F31" s="4"/>
    </row>
    <row r="32" spans="1:14" ht="16" x14ac:dyDescent="0.2">
      <c r="A32" s="9"/>
      <c r="B32" s="9"/>
      <c r="C32" s="9"/>
      <c r="D32" s="9"/>
      <c r="E32" s="9"/>
      <c r="F32" s="9"/>
    </row>
    <row r="33" spans="1:6" ht="16" x14ac:dyDescent="0.2">
      <c r="A33" s="4"/>
      <c r="B33" s="4"/>
      <c r="C33" s="4"/>
      <c r="D33" s="4"/>
      <c r="E33" s="4"/>
      <c r="F33" s="9"/>
    </row>
    <row r="34" spans="1:6" ht="16" x14ac:dyDescent="0.2">
      <c r="A34" s="4"/>
      <c r="B34" s="4"/>
      <c r="C34" s="4"/>
      <c r="D34" s="4"/>
      <c r="E34" s="4"/>
      <c r="F34" s="5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Cytosol Control (T=0 tRNA DNA)</vt:lpstr>
      <vt:lpstr>Cytosol (T=120 tRNA DNA)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Sahan Liyanagedera</dc:creator>
  <cp:lastModifiedBy>Surendra Yadav</cp:lastModifiedBy>
  <dcterms:created xsi:type="dcterms:W3CDTF">2023-02-03T16:59:32Z</dcterms:created>
  <dcterms:modified xsi:type="dcterms:W3CDTF">2026-05-21T23:21:08Z</dcterms:modified>
</cp:coreProperties>
</file>